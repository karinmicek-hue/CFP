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karin.lyle/Documents/AAA/**CFP/BOD/Finance Committee/May 13 Meeting/"/>
    </mc:Choice>
  </mc:AlternateContent>
  <xr:revisionPtr revIDLastSave="0" documentId="8_{BFA613D3-A2C6-8D42-A5D8-23586F835965}" xr6:coauthVersionLast="47" xr6:coauthVersionMax="47" xr10:uidLastSave="{00000000-0000-0000-0000-000000000000}"/>
  <bookViews>
    <workbookView xWindow="4500" yWindow="2580" windowWidth="19780" windowHeight="12400" tabRatio="500" xr2:uid="{00000000-000D-0000-FFFF-FFFF00000000}"/>
  </bookViews>
  <sheets>
    <sheet name="Cover" sheetId="1" r:id="rId1"/>
    <sheet name="KPI Scorecard" sheetId="2" r:id="rId2"/>
    <sheet name="Monthly Tracker" sheetId="3" r:id="rId3"/>
    <sheet name="Benchmarks" sheetId="4" r:id="rId4"/>
    <sheet name="Methodology" sheetId="5" r:id="rId5"/>
    <sheet name="CFP Input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8" i="6" l="1"/>
  <c r="B27" i="6"/>
  <c r="B21" i="6"/>
  <c r="B14" i="6"/>
  <c r="B16" i="6" s="1"/>
  <c r="B17" i="6" s="1"/>
  <c r="B13" i="6"/>
  <c r="B15" i="6" s="1"/>
  <c r="B10" i="6"/>
  <c r="B22" i="6" s="1"/>
  <c r="B6" i="6"/>
  <c r="P11" i="3"/>
  <c r="P10" i="3"/>
  <c r="P8" i="3"/>
  <c r="P7" i="3"/>
  <c r="P6" i="3"/>
  <c r="P5" i="3"/>
  <c r="P4" i="3"/>
  <c r="B33" i="6" l="1"/>
  <c r="B35" i="6" l="1"/>
  <c r="B34" i="6"/>
</calcChain>
</file>

<file path=xl/sharedStrings.xml><?xml version="1.0" encoding="utf-8"?>
<sst xmlns="http://schemas.openxmlformats.org/spreadsheetml/2006/main" count="242" uniqueCount="194">
  <si>
    <t>Top 8 Non-Profit KPIs — Quick Tracker</t>
  </si>
  <si>
    <t>Recommended core metrics every non-profit board should monitor monthly  •  Customized for Center for People</t>
  </si>
  <si>
    <t>How to use this workbook</t>
  </si>
  <si>
    <t>KPI Scorecard</t>
  </si>
  <si>
    <t>Current period (YTD Apr 2026) snapshot of all 8 KPIs with values, status (Healthy/Watch/Concern), and benchmark.</t>
  </si>
  <si>
    <t>Monthly Tracker</t>
  </si>
  <si>
    <t>Year-long row-and-column grid for entering monthly values. Variance vs target auto-calculates.</t>
  </si>
  <si>
    <t>Benchmarks</t>
  </si>
  <si>
    <t>The non-profit industry benchmarks each KPI is measured against, with source citations.</t>
  </si>
  <si>
    <t>Methodology</t>
  </si>
  <si>
    <t>Detailed calculation method and definition for each KPI — share with auditors or new board members.</t>
  </si>
  <si>
    <t>CFPN Inputs</t>
  </si>
  <si>
    <t>Source values pulled from your April 2026 Financial Edge reports. Update monthly to refresh the Scorecard.</t>
  </si>
  <si>
    <t>Why these 8?</t>
  </si>
  <si>
    <t>Boards drown in metrics. These 8 are the irreducible minimum: one survival metric (cash reserves), three sustainability metrics (net income, BvA, revenue concentration), two efficiency metrics (program ratio, fundraising efficiency), and two effectiveness metrics (donor retention, cost per person served). Anything fewer and you cannot see the picture; anything more and you cannot focus the conversation.</t>
  </si>
  <si>
    <t>Top 8 KPI Scorecard — YTD as of April 30, 2026</t>
  </si>
  <si>
    <t>#</t>
  </si>
  <si>
    <t>KPI</t>
  </si>
  <si>
    <t>Current Value</t>
  </si>
  <si>
    <t>Format</t>
  </si>
  <si>
    <t>Healthy Range</t>
  </si>
  <si>
    <t>Status</t>
  </si>
  <si>
    <t>What it tells the board</t>
  </si>
  <si>
    <t>Months of Operating Reserves</t>
  </si>
  <si>
    <t>5.1 months</t>
  </si>
  <si>
    <t>0.0" months"</t>
  </si>
  <si>
    <t>3 – 6 months</t>
  </si>
  <si>
    <t>✓ Healthy</t>
  </si>
  <si>
    <t>Survival metric. How long the doors stay open if revenue stops today. The board's most important emergency fund check.</t>
  </si>
  <si>
    <t>Net Surplus / (Deficit) — YTD</t>
  </si>
  <si>
    <t>$-59,878</t>
  </si>
  <si>
    <t>$#,##0;($#,##0);-</t>
  </si>
  <si>
    <t>Positive (any amount)</t>
  </si>
  <si>
    <t>!! Concern</t>
  </si>
  <si>
    <t>Are we spending more than we bring in? Negative for 1 month is fine. Negative for 2-3+ months in a row demands action.</t>
  </si>
  <si>
    <t>Budget vs Actual Variance — Net</t>
  </si>
  <si>
    <t>$197,161 fav. to plan</t>
  </si>
  <si>
    <t>Within ±10% of budget</t>
  </si>
  <si>
    <t>Did we execute against the plan we sold the board? Big favorable variances are also a flag — often hiring lag or program under-execution, not skill.</t>
  </si>
  <si>
    <t>Program Expense Ratio</t>
  </si>
  <si>
    <t>52.7% cash basis / 80.7% incl in-kind</t>
  </si>
  <si>
    <t>0.0%;(0.0%);-</t>
  </si>
  <si>
    <t>≥ 75% (≥ 70% min)</t>
  </si>
  <si>
    <t>What share of every dollar reaches mission delivery vs admin/fundraising. Charity Navigator and most funders use ≥70% as a baseline filter.</t>
  </si>
  <si>
    <t>Revenue Concentration — Top Source</t>
  </si>
  <si>
    <t>67.8% from Grants</t>
  </si>
  <si>
    <t>&lt; 40% from any single source</t>
  </si>
  <si>
    <t>How exposed is the org if one funder walks away? Above 40% from one source is a board-level resilience concern.</t>
  </si>
  <si>
    <t>Fundraising Efficiency Ratio</t>
  </si>
  <si>
    <t>Needs fundraising cost data</t>
  </si>
  <si>
    <t>$3 – $5 raised per $1 spent</t>
  </si>
  <si>
    <t>◌ Pending data</t>
  </si>
  <si>
    <t>For every dollar spent on fundraising, how many dollars come back? Tells the board if the development function is paying for itself.</t>
  </si>
  <si>
    <t>Donor Retention Rate</t>
  </si>
  <si>
    <t>Needs Givebutter data</t>
  </si>
  <si>
    <t>≥ 50% (industry avg ~45%)</t>
  </si>
  <si>
    <t>Of donors who gave last year, what % gave again this year? Acquiring a new donor costs 5–10× retaining an existing one.</t>
  </si>
  <si>
    <t>Cost Per Person Served</t>
  </si>
  <si>
    <t>Needs unduplicated client count</t>
  </si>
  <si>
    <t>Trend; benchmark vs peers</t>
  </si>
  <si>
    <t>Total program $ ÷ unduplicated clients. Funders increasingly want unit economics, not just totals.</t>
  </si>
  <si>
    <t>Note: KPI 4 (Program Expense Ratio) is shown on both bases. Including in-kind contributions/expenses, CFPN exceeds the 75% benchmark comfortably. Excluding in-kind (cash basis), the ratio is 52.7% — a real story to track and discuss with the board, especially as in-kind is concentrated in Nutrition Equity.</t>
  </si>
  <si>
    <t>Monthly KPI Tracker — FY2026 (Calendar Year)</t>
  </si>
  <si>
    <t>Update monthly. Cells with values pre-populated for Jan–Apr; remaining months blank for entry.</t>
  </si>
  <si>
    <t>Target</t>
  </si>
  <si>
    <t>Jan</t>
  </si>
  <si>
    <t>Feb</t>
  </si>
  <si>
    <t>Mar</t>
  </si>
  <si>
    <t>Apr</t>
  </si>
  <si>
    <t>May</t>
  </si>
  <si>
    <t>Jun</t>
  </si>
  <si>
    <t>Jul</t>
  </si>
  <si>
    <t>Aug</t>
  </si>
  <si>
    <t>Sep</t>
  </si>
  <si>
    <t>Oct</t>
  </si>
  <si>
    <t>Nov</t>
  </si>
  <si>
    <t>Dec</t>
  </si>
  <si>
    <t>YTD Apr</t>
  </si>
  <si>
    <t>Net Surplus / (Deficit) — Monthly</t>
  </si>
  <si>
    <t>Positive (or stable to budget)</t>
  </si>
  <si>
    <t>Net Variance vs Budget — Monthly</t>
  </si>
  <si>
    <t>Program Expense Ratio (Total)</t>
  </si>
  <si>
    <t>≥ 75%</t>
  </si>
  <si>
    <t>Top Source Concentration</t>
  </si>
  <si>
    <t>&lt; 40%</t>
  </si>
  <si>
    <t>Fundraising Efficiency ($/$)</t>
  </si>
  <si>
    <t>$3 – $5</t>
  </si>
  <si>
    <t>≥ 50%</t>
  </si>
  <si>
    <t>Track trend</t>
  </si>
  <si>
    <t>Blue cells = input needed. Black cells = calculated/sourced from financials. YTD column auto-calculates based on KPI type (sum, average, or latest value).</t>
  </si>
  <si>
    <t>KPI Benchmarks &amp; Source Standards</t>
  </si>
  <si>
    <t>Healthy</t>
  </si>
  <si>
    <t>Watch</t>
  </si>
  <si>
    <t>Concern</t>
  </si>
  <si>
    <t>Industry Source</t>
  </si>
  <si>
    <t>2 – 3 months</t>
  </si>
  <si>
    <t>&lt; 2 months</t>
  </si>
  <si>
    <t>National Council of Nonprofits; Nonprofit Finance Fund</t>
  </si>
  <si>
    <t>Net Surplus / (Deficit)</t>
  </si>
  <si>
    <t>Positive</t>
  </si>
  <si>
    <t>0 to -2% of revenue</t>
  </si>
  <si>
    <t>&lt; -2% for 3+ months</t>
  </si>
  <si>
    <t>GAAP financial reporting standards; Form 990 best practice</t>
  </si>
  <si>
    <t>Budget vs Actual Variance</t>
  </si>
  <si>
    <t>Within ±10%</t>
  </si>
  <si>
    <t>±10–20%</t>
  </si>
  <si>
    <t>&gt; ±20% sustained</t>
  </si>
  <si>
    <t>AICPA Not-for-Profit Guide; standard FP&amp;A discipline</t>
  </si>
  <si>
    <t>≥ 75% (80%+ ideal)</t>
  </si>
  <si>
    <t>65 – 75%</t>
  </si>
  <si>
    <t>&lt; 65%</t>
  </si>
  <si>
    <t>Charity Navigator (≥70% to rate), BBB Wise Giving (≥65%)</t>
  </si>
  <si>
    <t>Revenue Concentration (top source)</t>
  </si>
  <si>
    <t>40 – 50%</t>
  </si>
  <si>
    <t>&gt; 50%</t>
  </si>
  <si>
    <t>NFF Resiliency Framework; standard 990 review</t>
  </si>
  <si>
    <t>$3 – $5 per $1</t>
  </si>
  <si>
    <t>$2 – $3 per $1</t>
  </si>
  <si>
    <t>&lt; $2 per $1</t>
  </si>
  <si>
    <t>AFP Fundraising Effectiveness Project</t>
  </si>
  <si>
    <t>AFP Fundraising Effectiveness Project (industry avg ~45%)</t>
  </si>
  <si>
    <t>Trend or peer-bench</t>
  </si>
  <si>
    <t>Rising &gt; 10% YoY</t>
  </si>
  <si>
    <t>Rising w/ flat outcomes</t>
  </si>
  <si>
    <t>No universal benchmark; compare to peer orgs on Form 990</t>
  </si>
  <si>
    <t>KPI Methodology — Definitions, Formulas &amp; Calculation Notes</t>
  </si>
  <si>
    <t>Formula / Definition</t>
  </si>
  <si>
    <t>Calculation Notes for CFPN</t>
  </si>
  <si>
    <t>Liquid Unrestricted Cash ÷ Average Monthly Operating Cash Expenses</t>
  </si>
  <si>
    <t>Total Revenue – Total Expenses (period basis)</t>
  </si>
  <si>
    <t>Reported both total (incl in-kind, which is GAAP) and cash-only (excl in-kind, which is what the board feels). YTD net is -$59,878 either way since in-kind contributions = in-kind expenses.</t>
  </si>
  <si>
    <t>(Actual – Budget) ÷ |Budget|, expressed as % and $</t>
  </si>
  <si>
    <t>Use the board-approved FY2026 Operating Budget from Financial Edge. CFPN YTD net is $197K favorable to budget driven by salary timing (-$206K vs budget) and supplies (-$148K vs budget) — favorability is partly underspending, not just overperformance.</t>
  </si>
  <si>
    <t>Program Service Expenses ÷ Total Expenses</t>
  </si>
  <si>
    <t>CFPN: program = GL segments 05/06/07; supporting = segments 01/02/03/04. Computed two ways: (a) total basis incl in-kind = 80.7%, (b) cash basis excl in-kind = 52.7%. The Form 990 ratio uses the total basis.</t>
  </si>
  <si>
    <t>Revenue Concentration</t>
  </si>
  <si>
    <t>Largest single funding source ÷ Total Cash Revenue (excl in-kind)</t>
  </si>
  <si>
    <t>In-kind excluded because it is non-substitutable (food, donated goods). CFPN top source: Grants at 67.8% of cash revenue. Top 3 concentration: 96.9% — extreme exposure. Diversification is the #1 strategic finance task.</t>
  </si>
  <si>
    <t>Contributed Revenue ÷ Fundraising &amp; Development Expenses</t>
  </si>
  <si>
    <t>Requires fundraising expense detail. In CFPN COA, fundraising = segment 04 expenses (development/events) + event-specific costs. Pull from BvA detail and special-event budgets.</t>
  </si>
  <si>
    <t># donors who gave both this period &amp; prior period ÷ # donors prior period</t>
  </si>
  <si>
    <t>Pull from Givebutter export. Track by donor segment (recurring, one-time, major). Most-watched fundraising metric — small retention gains compound dramatically over 3-5 years.</t>
  </si>
  <si>
    <t>Total Program Expenses ÷ Unduplicated Individuals Served</t>
  </si>
  <si>
    <t>Use program expenses cash basis ($406,638 YTD) divided by unduplicated client count from intake / case management system. Report by program type (Basic Needs vs Education) for funder reporting.</t>
  </si>
  <si>
    <t>Source Values — CFPN April 2026 Snapshot</t>
  </si>
  <si>
    <t xml:space="preserve">  Cash &amp; Liquidity</t>
  </si>
  <si>
    <t>Operating cash (Union Bank Checking)</t>
  </si>
  <si>
    <t>From CFP Balance Sheet — Apr26</t>
  </si>
  <si>
    <t>Savings (STFIT)</t>
  </si>
  <si>
    <t>Total Liquid Cash</t>
  </si>
  <si>
    <t>Sum of above</t>
  </si>
  <si>
    <t>YTD Total Revenue (incl in-kind)</t>
  </si>
  <si>
    <t>From CFP Income Statement — Apr26</t>
  </si>
  <si>
    <t>YTD Total Expenses (incl in-kind)</t>
  </si>
  <si>
    <t>YTD Net Surplus / (Deficit)</t>
  </si>
  <si>
    <t>Calculation</t>
  </si>
  <si>
    <t>In-Kind Revenue YTD</t>
  </si>
  <si>
    <t>From IS — GL 42960 + 42965</t>
  </si>
  <si>
    <t>In-Kind Expense YTD</t>
  </si>
  <si>
    <t>From IS — GL 77300 + 77350</t>
  </si>
  <si>
    <t>Cash Revenue YTD (excl in-kind)</t>
  </si>
  <si>
    <t>Cash Expense YTD (excl in-kind)</t>
  </si>
  <si>
    <t>Cash Net YTD</t>
  </si>
  <si>
    <t>Avg Monthly Cash Burn (4 months)</t>
  </si>
  <si>
    <t>Cash ÷ Avg Monthly Burn</t>
  </si>
  <si>
    <t>YTD Budget Revenue</t>
  </si>
  <si>
    <t>From CFP P&amp;L Budget v Actual — Apr26</t>
  </si>
  <si>
    <t>YTD Budget Expense</t>
  </si>
  <si>
    <t>YTD Budget Net</t>
  </si>
  <si>
    <t>Net Variance vs Budget ($)</t>
  </si>
  <si>
    <t>Program Expense (incl in-kind)</t>
  </si>
  <si>
    <t>GL segments 05/06/07 (programs)</t>
  </si>
  <si>
    <t>Program Expense (cash, excl in-kind)</t>
  </si>
  <si>
    <t>Programs less in-kind portion</t>
  </si>
  <si>
    <t>Support Expense (admin + fundraising)</t>
  </si>
  <si>
    <t>GL segments 01/02/03/04</t>
  </si>
  <si>
    <t>Program Ratio (total basis)</t>
  </si>
  <si>
    <t>Cell B24 ÷ Cell B9</t>
  </si>
  <si>
    <t>Program Ratio (cash basis)</t>
  </si>
  <si>
    <t>Programs cash ÷ total cash expenses</t>
  </si>
  <si>
    <t>Top Revenue Source — Grants</t>
  </si>
  <si>
    <t>GL 41200-06-1 + 41200-06-2</t>
  </si>
  <si>
    <t>Top Revenue Source — Unrestricted Contrib.</t>
  </si>
  <si>
    <t>GL 41000-06-1</t>
  </si>
  <si>
    <t>Top Revenue Source — Rent Income</t>
  </si>
  <si>
    <t>GL 42700-01-1</t>
  </si>
  <si>
    <t>Total Cash Revenue (for concentration calc)</t>
  </si>
  <si>
    <t>Same as B13</t>
  </si>
  <si>
    <t>Top Source Share</t>
  </si>
  <si>
    <t>Top source ÷ total cash rev</t>
  </si>
  <si>
    <t>Top 3 Share</t>
  </si>
  <si>
    <t>Top 3 sum ÷ total cash rev</t>
  </si>
  <si>
    <t>Blue = input value (replace monthly to refresh). Black = calculated formula. Update inputs and the entire workbook refreshes.</t>
  </si>
  <si>
    <t>CFP uses Union Bank Checking + STFIT Savings = $988,293 as liquid cash. Monthly burn = Cash Expenses (excluding non-cash like depreciation and in-kind) ÷ months elapsed. Apr 2026: $988,293 ÷ ($772,120 ÷ 4) = 5.1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</si>
</sst>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 months&quot;"/>
    <numFmt numFmtId="165" formatCode="\$#,##0;&quot;($&quot;#,##0\);\-"/>
    <numFmt numFmtId="166" formatCode="0.0%;\(0.0%\);\-"/>
    <numFmt numFmtId="167" formatCode="\$0.00&quot; raised&quot;"/>
  </numFmts>
  <fonts count="26" x14ac:knownFonts="1">
    <font>
      <sz val="11"/>
      <color theme="1"/>
      <name val="Calibri"/>
      <family val="2"/>
      <charset val="1"/>
    </font>
    <font>
      <sz val="10"/>
      <name val="Arial"/>
      <family val="2"/>
    </font>
    <font>
      <b/>
      <sz val="18"/>
      <color rgb="FFFFFFFF"/>
      <name val="Arial"/>
      <family val="2"/>
    </font>
    <font>
      <i/>
      <sz val="12"/>
      <color rgb="FF595959"/>
      <name val="Arial"/>
      <family val="2"/>
    </font>
    <font>
      <b/>
      <sz val="13"/>
      <color rgb="FF36205B"/>
      <name val="Arial"/>
      <family val="2"/>
    </font>
    <font>
      <b/>
      <sz val="10"/>
      <name val="Arial"/>
      <family val="2"/>
    </font>
    <font>
      <sz val="10"/>
      <name val="Arial"/>
      <family val="2"/>
    </font>
    <font>
      <i/>
      <sz val="10"/>
      <color rgb="FF595959"/>
      <name val="Arial"/>
      <family val="2"/>
    </font>
    <font>
      <b/>
      <sz val="16"/>
      <color rgb="FFFFFFFF"/>
      <name val="Arial"/>
      <family val="2"/>
    </font>
    <font>
      <b/>
      <sz val="10"/>
      <color rgb="FFFFFFFF"/>
      <name val="Arial"/>
      <family val="2"/>
    </font>
    <font>
      <b/>
      <sz val="12"/>
      <color rgb="FFFFFFFF"/>
      <name val="Arial"/>
      <family val="2"/>
    </font>
    <font>
      <b/>
      <sz val="11"/>
      <name val="Arial"/>
      <family val="2"/>
    </font>
    <font>
      <b/>
      <sz val="11"/>
      <color rgb="FF36205B"/>
      <name val="Arial"/>
      <family val="2"/>
    </font>
    <font>
      <i/>
      <sz val="9"/>
      <color rgb="FF595959"/>
      <name val="Arial"/>
      <family val="2"/>
    </font>
    <font>
      <b/>
      <sz val="10"/>
      <color rgb="FF155724"/>
      <name val="Arial"/>
      <family val="2"/>
    </font>
    <font>
      <b/>
      <sz val="10"/>
      <color rgb="FF721C24"/>
      <name val="Arial"/>
      <family val="2"/>
    </font>
    <font>
      <b/>
      <sz val="10"/>
      <color rgb="FF595959"/>
      <name val="Arial"/>
      <family val="2"/>
    </font>
    <font>
      <b/>
      <sz val="11"/>
      <color rgb="FFFFFFFF"/>
      <name val="Arial"/>
      <family val="2"/>
    </font>
    <font>
      <sz val="9"/>
      <color rgb="FF0000FF"/>
      <name val="Arial"/>
      <family val="2"/>
    </font>
    <font>
      <sz val="9"/>
      <name val="Arial"/>
      <family val="2"/>
    </font>
    <font>
      <b/>
      <sz val="10"/>
      <color rgb="FF36205B"/>
      <name val="Arial"/>
      <family val="2"/>
    </font>
    <font>
      <sz val="10"/>
      <color rgb="FF047857"/>
      <name val="Arial"/>
      <family val="2"/>
    </font>
    <font>
      <sz val="10"/>
      <color rgb="FF856404"/>
      <name val="Arial"/>
      <family val="2"/>
    </font>
    <font>
      <sz val="10"/>
      <color rgb="FFB91C1C"/>
      <name val="Arial"/>
      <family val="2"/>
    </font>
    <font>
      <i/>
      <sz val="10"/>
      <name val="Arial"/>
      <family val="2"/>
    </font>
    <font>
      <sz val="10"/>
      <color rgb="FF0000FF"/>
      <name val="Arial"/>
      <family val="2"/>
    </font>
  </fonts>
  <fills count="8">
    <fill>
      <patternFill patternType="none"/>
    </fill>
    <fill>
      <patternFill patternType="gray125"/>
    </fill>
    <fill>
      <patternFill patternType="solid">
        <fgColor rgb="FF36205B"/>
        <bgColor rgb="FF333399"/>
      </patternFill>
    </fill>
    <fill>
      <patternFill patternType="solid">
        <fgColor rgb="FFF2F2F2"/>
        <bgColor rgb="FFFAF7FB"/>
      </patternFill>
    </fill>
    <fill>
      <patternFill patternType="solid">
        <fgColor rgb="FFFAF7FB"/>
        <bgColor rgb="FFF2F2F2"/>
      </patternFill>
    </fill>
    <fill>
      <patternFill patternType="solid">
        <fgColor rgb="FFD4EDDA"/>
        <bgColor rgb="FFE5E7EB"/>
      </patternFill>
    </fill>
    <fill>
      <patternFill patternType="solid">
        <fgColor rgb="FFF8D7DA"/>
        <bgColor rgb="FFE5E7EB"/>
      </patternFill>
    </fill>
    <fill>
      <patternFill patternType="solid">
        <fgColor rgb="FFE5E7EB"/>
        <bgColor rgb="FFF2F2F2"/>
      </patternFill>
    </fill>
  </fills>
  <borders count="1">
    <border>
      <left/>
      <right/>
      <top/>
      <bottom/>
      <diagonal/>
    </border>
  </borders>
  <cellStyleXfs count="1">
    <xf numFmtId="0" fontId="0" fillId="0" borderId="0"/>
  </cellStyleXfs>
  <cellXfs count="70">
    <xf numFmtId="0" fontId="0" fillId="0" borderId="0" xfId="0"/>
    <xf numFmtId="0" fontId="10" fillId="2" borderId="0" xfId="0" applyFont="1" applyFill="1" applyAlignment="1">
      <alignment horizontal="left" vertical="center" indent="1"/>
    </xf>
    <xf numFmtId="0" fontId="13" fillId="0" borderId="0" xfId="0" applyFont="1" applyAlignment="1">
      <alignment horizontal="left" vertical="center" indent="1"/>
    </xf>
    <xf numFmtId="0" fontId="7" fillId="3" borderId="0" xfId="0" applyFont="1" applyFill="1" applyAlignment="1">
      <alignment horizontal="left" vertical="center" indent="1"/>
    </xf>
    <xf numFmtId="0" fontId="13" fillId="0" borderId="0" xfId="0" applyFont="1" applyAlignment="1">
      <alignment horizontal="left" vertical="center" wrapText="1" indent="1"/>
    </xf>
    <xf numFmtId="0" fontId="8" fillId="2" borderId="0" xfId="0" applyFont="1" applyFill="1" applyAlignment="1">
      <alignment horizontal="left" vertical="center" indent="1"/>
    </xf>
    <xf numFmtId="0" fontId="7" fillId="0" borderId="0" xfId="0" applyFont="1" applyAlignment="1">
      <alignment horizontal="left" vertical="center" wrapText="1" indent="1"/>
    </xf>
    <xf numFmtId="0" fontId="4" fillId="0" borderId="0" xfId="0" applyFont="1" applyAlignment="1">
      <alignment horizontal="left" vertical="center" indent="1"/>
    </xf>
    <xf numFmtId="0" fontId="3" fillId="3" borderId="0" xfId="0" applyFont="1" applyFill="1" applyAlignment="1">
      <alignment horizontal="left" vertical="center" indent="1"/>
    </xf>
    <xf numFmtId="0" fontId="2" fillId="2" borderId="0" xfId="0" applyFont="1" applyFill="1" applyAlignment="1">
      <alignment horizontal="left" vertical="center" indent="1"/>
    </xf>
    <xf numFmtId="0" fontId="5" fillId="4" borderId="0" xfId="0" applyFont="1" applyFill="1" applyAlignment="1">
      <alignment horizontal="left" vertical="center" indent="1"/>
    </xf>
    <xf numFmtId="0" fontId="6" fillId="4" borderId="0" xfId="0" applyFont="1" applyFill="1" applyAlignment="1">
      <alignment horizontal="left" vertical="center" wrapText="1" indent="1"/>
    </xf>
    <xf numFmtId="0" fontId="5" fillId="0" borderId="0" xfId="0" applyFont="1" applyAlignment="1">
      <alignment horizontal="left" vertical="center" indent="1"/>
    </xf>
    <xf numFmtId="0" fontId="6" fillId="0" borderId="0" xfId="0" applyFont="1" applyAlignment="1">
      <alignment horizontal="left" vertical="center" wrapText="1" indent="1"/>
    </xf>
    <xf numFmtId="0" fontId="9" fillId="2" borderId="0" xfId="0" applyFont="1" applyFill="1" applyAlignment="1">
      <alignment horizontal="center" vertical="center" wrapText="1"/>
    </xf>
    <xf numFmtId="0" fontId="10" fillId="2" borderId="0" xfId="0" applyFont="1" applyFill="1" applyAlignment="1">
      <alignment horizontal="center" vertical="center"/>
    </xf>
    <xf numFmtId="0" fontId="11" fillId="4" borderId="0" xfId="0" applyFont="1" applyFill="1" applyAlignment="1">
      <alignment horizontal="left" vertical="center" wrapText="1" indent="1"/>
    </xf>
    <xf numFmtId="0" fontId="12" fillId="4" borderId="0" xfId="0" applyFont="1" applyFill="1" applyAlignment="1">
      <alignment horizontal="center" vertical="center" wrapText="1"/>
    </xf>
    <xf numFmtId="0" fontId="13" fillId="4" borderId="0" xfId="0" applyFont="1" applyFill="1" applyAlignment="1">
      <alignment horizontal="center" vertical="center"/>
    </xf>
    <xf numFmtId="0" fontId="6" fillId="4" borderId="0" xfId="0" applyFont="1" applyFill="1" applyAlignment="1">
      <alignment horizontal="center" vertical="center" wrapText="1"/>
    </xf>
    <xf numFmtId="0" fontId="14" fillId="5" borderId="0" xfId="0" applyFont="1" applyFill="1" applyAlignment="1">
      <alignment horizontal="center" vertical="center"/>
    </xf>
    <xf numFmtId="0" fontId="11" fillId="0" borderId="0" xfId="0" applyFont="1" applyAlignment="1">
      <alignment horizontal="left" vertical="center" wrapText="1" indent="1"/>
    </xf>
    <xf numFmtId="0" fontId="12" fillId="0" borderId="0" xfId="0" applyFont="1" applyAlignment="1">
      <alignment horizontal="center" vertical="center" wrapText="1"/>
    </xf>
    <xf numFmtId="0" fontId="13" fillId="0" borderId="0" xfId="0" applyFont="1" applyAlignment="1">
      <alignment horizontal="center" vertical="center"/>
    </xf>
    <xf numFmtId="0" fontId="6" fillId="0" borderId="0" xfId="0" applyFont="1" applyAlignment="1">
      <alignment horizontal="center" vertical="center" wrapText="1"/>
    </xf>
    <xf numFmtId="0" fontId="15" fillId="6" borderId="0" xfId="0" applyFont="1" applyFill="1" applyAlignment="1">
      <alignment horizontal="center" vertical="center"/>
    </xf>
    <xf numFmtId="0" fontId="16" fillId="7" borderId="0" xfId="0" applyFont="1" applyFill="1" applyAlignment="1">
      <alignment horizontal="center" vertical="center"/>
    </xf>
    <xf numFmtId="0" fontId="13" fillId="0" borderId="0" xfId="0" applyFont="1" applyAlignment="1">
      <alignment horizontal="left" vertical="center" wrapText="1" indent="1"/>
    </xf>
    <xf numFmtId="0" fontId="9" fillId="2" borderId="0" xfId="0" applyFont="1" applyFill="1" applyAlignment="1">
      <alignment horizontal="center" vertical="center"/>
    </xf>
    <xf numFmtId="0" fontId="17" fillId="2" borderId="0" xfId="0" applyFont="1" applyFill="1" applyAlignment="1">
      <alignment horizontal="center" vertical="center"/>
    </xf>
    <xf numFmtId="0" fontId="7" fillId="0" borderId="0" xfId="0" applyFont="1" applyAlignment="1">
      <alignment horizontal="center" vertical="center" wrapText="1"/>
    </xf>
    <xf numFmtId="164" fontId="18" fillId="0" borderId="0" xfId="0" applyNumberFormat="1" applyFont="1" applyAlignment="1">
      <alignment horizontal="right" vertical="center"/>
    </xf>
    <xf numFmtId="164" fontId="19" fillId="0" borderId="0" xfId="0" applyNumberFormat="1" applyFont="1" applyAlignment="1">
      <alignment horizontal="right" vertical="center"/>
    </xf>
    <xf numFmtId="164" fontId="20" fillId="4" borderId="0" xfId="0" applyNumberFormat="1" applyFont="1" applyFill="1" applyAlignment="1">
      <alignment horizontal="right" vertical="center" indent="1"/>
    </xf>
    <xf numFmtId="0" fontId="7" fillId="4" borderId="0" xfId="0" applyFont="1" applyFill="1" applyAlignment="1">
      <alignment horizontal="center" vertical="center" wrapText="1"/>
    </xf>
    <xf numFmtId="165" fontId="19" fillId="4" borderId="0" xfId="0" applyNumberFormat="1" applyFont="1" applyFill="1" applyAlignment="1">
      <alignment horizontal="right" vertical="center"/>
    </xf>
    <xf numFmtId="165" fontId="18" fillId="4" borderId="0" xfId="0" applyNumberFormat="1" applyFont="1" applyFill="1" applyAlignment="1">
      <alignment horizontal="right" vertical="center"/>
    </xf>
    <xf numFmtId="165" fontId="20" fillId="4" borderId="0" xfId="0" applyNumberFormat="1" applyFont="1" applyFill="1" applyAlignment="1">
      <alignment horizontal="right" vertical="center" indent="1"/>
    </xf>
    <xf numFmtId="165" fontId="19" fillId="0" borderId="0" xfId="0" applyNumberFormat="1" applyFont="1" applyAlignment="1">
      <alignment horizontal="right" vertical="center"/>
    </xf>
    <xf numFmtId="165" fontId="18" fillId="0" borderId="0" xfId="0" applyNumberFormat="1" applyFont="1" applyAlignment="1">
      <alignment horizontal="right" vertical="center"/>
    </xf>
    <xf numFmtId="166" fontId="18" fillId="4" borderId="0" xfId="0" applyNumberFormat="1" applyFont="1" applyFill="1" applyAlignment="1">
      <alignment horizontal="right" vertical="center"/>
    </xf>
    <xf numFmtId="166" fontId="19" fillId="4" borderId="0" xfId="0" applyNumberFormat="1" applyFont="1" applyFill="1" applyAlignment="1">
      <alignment horizontal="right" vertical="center"/>
    </xf>
    <xf numFmtId="166" fontId="20" fillId="4" borderId="0" xfId="0" applyNumberFormat="1" applyFont="1" applyFill="1" applyAlignment="1">
      <alignment horizontal="right" vertical="center" indent="1"/>
    </xf>
    <xf numFmtId="166" fontId="18" fillId="0" borderId="0" xfId="0" applyNumberFormat="1" applyFont="1" applyAlignment="1">
      <alignment horizontal="right" vertical="center"/>
    </xf>
    <xf numFmtId="166" fontId="19" fillId="0" borderId="0" xfId="0" applyNumberFormat="1" applyFont="1" applyAlignment="1">
      <alignment horizontal="right" vertical="center"/>
    </xf>
    <xf numFmtId="167" fontId="18" fillId="4" borderId="0" xfId="0" applyNumberFormat="1" applyFont="1" applyFill="1" applyAlignment="1">
      <alignment horizontal="right" vertical="center"/>
    </xf>
    <xf numFmtId="167" fontId="20" fillId="4" borderId="0" xfId="0" applyNumberFormat="1" applyFont="1" applyFill="1" applyAlignment="1">
      <alignment horizontal="right" vertical="center" indent="1"/>
    </xf>
    <xf numFmtId="0" fontId="13" fillId="0" borderId="0" xfId="0" applyFont="1" applyAlignment="1">
      <alignment horizontal="left" vertical="center" indent="1"/>
    </xf>
    <xf numFmtId="0" fontId="21" fillId="4" borderId="0" xfId="0" applyFont="1" applyFill="1" applyAlignment="1">
      <alignment horizontal="center" vertical="center" wrapText="1"/>
    </xf>
    <xf numFmtId="0" fontId="22" fillId="4" borderId="0" xfId="0" applyFont="1" applyFill="1" applyAlignment="1">
      <alignment horizontal="center" vertical="center" wrapText="1"/>
    </xf>
    <xf numFmtId="0" fontId="23" fillId="4" borderId="0" xfId="0" applyFont="1" applyFill="1" applyAlignment="1">
      <alignment horizontal="center" vertical="center" wrapText="1"/>
    </xf>
    <xf numFmtId="0" fontId="13" fillId="4" borderId="0" xfId="0" applyFont="1" applyFill="1" applyAlignment="1">
      <alignment horizontal="left" vertical="center" wrapText="1" inden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5" fillId="4" borderId="0" xfId="0" applyFont="1" applyFill="1" applyAlignment="1">
      <alignment horizontal="left" vertical="center" wrapText="1" indent="1"/>
    </xf>
    <xf numFmtId="0" fontId="24" fillId="4" borderId="0" xfId="0" applyFont="1" applyFill="1" applyAlignment="1">
      <alignment horizontal="left" vertical="center" wrapText="1" indent="1"/>
    </xf>
    <xf numFmtId="0" fontId="5" fillId="0" borderId="0" xfId="0" applyFont="1" applyAlignment="1">
      <alignment horizontal="left" vertical="center" wrapText="1" indent="1"/>
    </xf>
    <xf numFmtId="0" fontId="24" fillId="0" borderId="0" xfId="0" applyFont="1" applyAlignment="1">
      <alignment horizontal="left" vertical="center" wrapText="1" indent="1"/>
    </xf>
    <xf numFmtId="0" fontId="6" fillId="4" borderId="0" xfId="0" applyFont="1" applyFill="1" applyAlignment="1">
      <alignment horizontal="left" vertical="center" indent="1"/>
    </xf>
    <xf numFmtId="165" fontId="25" fillId="4" borderId="0" xfId="0" applyNumberFormat="1" applyFont="1" applyFill="1" applyAlignment="1">
      <alignment horizontal="right" vertical="center" indent="1"/>
    </xf>
    <xf numFmtId="0" fontId="13" fillId="4" borderId="0" xfId="0" applyFont="1" applyFill="1" applyAlignment="1">
      <alignment horizontal="left" vertical="center" indent="1"/>
    </xf>
    <xf numFmtId="0" fontId="6" fillId="0" borderId="0" xfId="0" applyFont="1" applyAlignment="1">
      <alignment horizontal="left" vertical="center" indent="1"/>
    </xf>
    <xf numFmtId="165" fontId="25" fillId="0" borderId="0" xfId="0" applyNumberFormat="1" applyFont="1" applyAlignment="1">
      <alignment horizontal="right" vertical="center" indent="1"/>
    </xf>
    <xf numFmtId="165" fontId="5" fillId="4" borderId="0" xfId="0" applyNumberFormat="1" applyFont="1" applyFill="1" applyAlignment="1">
      <alignment horizontal="right" vertical="center" indent="1"/>
    </xf>
    <xf numFmtId="165" fontId="5" fillId="0" borderId="0" xfId="0" applyNumberFormat="1" applyFont="1" applyAlignment="1">
      <alignment horizontal="right" vertical="center" indent="1"/>
    </xf>
    <xf numFmtId="164" fontId="5" fillId="0" borderId="0" xfId="0" applyNumberFormat="1" applyFont="1" applyAlignment="1">
      <alignment horizontal="right" vertical="center" indent="1"/>
    </xf>
    <xf numFmtId="166" fontId="5" fillId="0" borderId="0" xfId="0" applyNumberFormat="1" applyFont="1" applyAlignment="1">
      <alignment horizontal="right" vertical="center" indent="1"/>
    </xf>
    <xf numFmtId="166" fontId="5" fillId="4" borderId="0" xfId="0" applyNumberFormat="1" applyFont="1" applyFill="1" applyAlignment="1">
      <alignment horizontal="right" vertical="center" indent="1"/>
    </xf>
    <xf numFmtId="0" fontId="1" fillId="4"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21C24"/>
      <rgbColor rgb="FF008000"/>
      <rgbColor rgb="FF000080"/>
      <rgbColor rgb="FF856404"/>
      <rgbColor rgb="FF800080"/>
      <rgbColor rgb="FF047857"/>
      <rgbColor rgb="FFC0C0C0"/>
      <rgbColor rgb="FF808080"/>
      <rgbColor rgb="FF9999FF"/>
      <rgbColor rgb="FF993366"/>
      <rgbColor rgb="FFFAF7FB"/>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5E7EB"/>
      <rgbColor rgb="FFD4EDDA"/>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003366"/>
      <rgbColor rgb="FF339966"/>
      <rgbColor rgb="FF155724"/>
      <rgbColor rgb="FF333300"/>
      <rgbColor rgb="FFB91C1C"/>
      <rgbColor rgb="FF993366"/>
      <rgbColor rgb="FF333399"/>
      <rgbColor rgb="FF36205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GridLines="0" tabSelected="1" zoomScaleNormal="100" workbookViewId="0">
      <selection sqref="A1:B1"/>
    </sheetView>
  </sheetViews>
  <sheetFormatPr baseColWidth="10" defaultColWidth="8.6640625" defaultRowHeight="15" x14ac:dyDescent="0.2"/>
  <cols>
    <col min="1" max="1" width="25" customWidth="1"/>
    <col min="2" max="2" width="100" customWidth="1"/>
  </cols>
  <sheetData>
    <row r="1" spans="1:2" ht="37.5" customHeight="1" x14ac:dyDescent="0.2">
      <c r="A1" s="9" t="s">
        <v>0</v>
      </c>
      <c r="B1" s="9"/>
    </row>
    <row r="2" spans="1:2" ht="24" customHeight="1" x14ac:dyDescent="0.2">
      <c r="A2" s="8" t="s">
        <v>1</v>
      </c>
      <c r="B2" s="8"/>
    </row>
    <row r="3" spans="1:2" ht="12" customHeight="1" x14ac:dyDescent="0.2"/>
    <row r="4" spans="1:2" ht="21.75" customHeight="1" x14ac:dyDescent="0.2">
      <c r="A4" s="7" t="s">
        <v>2</v>
      </c>
      <c r="B4" s="7"/>
    </row>
    <row r="5" spans="1:2" ht="31.5" customHeight="1" x14ac:dyDescent="0.2">
      <c r="A5" s="10" t="s">
        <v>3</v>
      </c>
      <c r="B5" s="11" t="s">
        <v>4</v>
      </c>
    </row>
    <row r="6" spans="1:2" ht="31.5" customHeight="1" x14ac:dyDescent="0.2">
      <c r="A6" s="12" t="s">
        <v>5</v>
      </c>
      <c r="B6" s="13" t="s">
        <v>6</v>
      </c>
    </row>
    <row r="7" spans="1:2" ht="31.5" customHeight="1" x14ac:dyDescent="0.2">
      <c r="A7" s="10" t="s">
        <v>7</v>
      </c>
      <c r="B7" s="11" t="s">
        <v>8</v>
      </c>
    </row>
    <row r="8" spans="1:2" ht="31.5" customHeight="1" x14ac:dyDescent="0.2">
      <c r="A8" s="12" t="s">
        <v>9</v>
      </c>
      <c r="B8" s="13" t="s">
        <v>10</v>
      </c>
    </row>
    <row r="9" spans="1:2" ht="31.5" customHeight="1" x14ac:dyDescent="0.2">
      <c r="A9" s="10" t="s">
        <v>11</v>
      </c>
      <c r="B9" s="11" t="s">
        <v>12</v>
      </c>
    </row>
    <row r="11" spans="1:2" ht="21.75" customHeight="1" x14ac:dyDescent="0.2">
      <c r="A11" s="7" t="s">
        <v>13</v>
      </c>
      <c r="B11" s="7"/>
    </row>
    <row r="12" spans="1:2" ht="60" customHeight="1" x14ac:dyDescent="0.2">
      <c r="A12" s="6" t="s">
        <v>14</v>
      </c>
      <c r="B12" s="6"/>
    </row>
  </sheetData>
  <mergeCells count="5">
    <mergeCell ref="A1:B1"/>
    <mergeCell ref="A2:B2"/>
    <mergeCell ref="A4:B4"/>
    <mergeCell ref="A11:B11"/>
    <mergeCell ref="A12:B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showGridLines="0" zoomScaleNormal="100" workbookViewId="0">
      <selection sqref="A1:G1"/>
    </sheetView>
  </sheetViews>
  <sheetFormatPr baseColWidth="10" defaultColWidth="8.6640625" defaultRowHeight="15" x14ac:dyDescent="0.2"/>
  <cols>
    <col min="1" max="1" width="5" customWidth="1"/>
    <col min="2" max="2" width="34" customWidth="1"/>
    <col min="3" max="3" width="18" customWidth="1"/>
    <col min="4" max="4" width="14" customWidth="1"/>
    <col min="5" max="5" width="22" customWidth="1"/>
    <col min="6" max="6" width="14" customWidth="1"/>
    <col min="7" max="7" width="45" customWidth="1"/>
  </cols>
  <sheetData>
    <row r="1" spans="1:7" ht="31.5" customHeight="1" x14ac:dyDescent="0.2">
      <c r="A1" s="5" t="s">
        <v>15</v>
      </c>
      <c r="B1" s="5"/>
      <c r="C1" s="5"/>
      <c r="D1" s="5"/>
      <c r="E1" s="5"/>
      <c r="F1" s="5"/>
      <c r="G1" s="5"/>
    </row>
    <row r="2" spans="1:7" ht="12" customHeight="1" x14ac:dyDescent="0.2"/>
    <row r="3" spans="1:7" ht="30" customHeight="1" x14ac:dyDescent="0.2">
      <c r="A3" s="14" t="s">
        <v>16</v>
      </c>
      <c r="B3" s="14" t="s">
        <v>17</v>
      </c>
      <c r="C3" s="14" t="s">
        <v>18</v>
      </c>
      <c r="D3" s="14" t="s">
        <v>19</v>
      </c>
      <c r="E3" s="14" t="s">
        <v>20</v>
      </c>
      <c r="F3" s="14" t="s">
        <v>21</v>
      </c>
      <c r="G3" s="14" t="s">
        <v>22</v>
      </c>
    </row>
    <row r="4" spans="1:7" ht="55.5" customHeight="1" x14ac:dyDescent="0.2">
      <c r="A4" s="15">
        <v>1</v>
      </c>
      <c r="B4" s="16" t="s">
        <v>23</v>
      </c>
      <c r="C4" s="17" t="s">
        <v>24</v>
      </c>
      <c r="D4" s="18" t="s">
        <v>25</v>
      </c>
      <c r="E4" s="19" t="s">
        <v>26</v>
      </c>
      <c r="F4" s="20" t="s">
        <v>27</v>
      </c>
      <c r="G4" s="11" t="s">
        <v>28</v>
      </c>
    </row>
    <row r="5" spans="1:7" ht="55.5" customHeight="1" x14ac:dyDescent="0.2">
      <c r="A5" s="15">
        <v>2</v>
      </c>
      <c r="B5" s="21" t="s">
        <v>29</v>
      </c>
      <c r="C5" s="22" t="s">
        <v>30</v>
      </c>
      <c r="D5" s="23" t="s">
        <v>31</v>
      </c>
      <c r="E5" s="24" t="s">
        <v>32</v>
      </c>
      <c r="F5" s="25" t="s">
        <v>33</v>
      </c>
      <c r="G5" s="13" t="s">
        <v>34</v>
      </c>
    </row>
    <row r="6" spans="1:7" ht="55.5" customHeight="1" x14ac:dyDescent="0.2">
      <c r="A6" s="15">
        <v>3</v>
      </c>
      <c r="B6" s="16" t="s">
        <v>35</v>
      </c>
      <c r="C6" s="17" t="s">
        <v>36</v>
      </c>
      <c r="D6" s="18" t="s">
        <v>31</v>
      </c>
      <c r="E6" s="19" t="s">
        <v>37</v>
      </c>
      <c r="F6" s="20" t="s">
        <v>27</v>
      </c>
      <c r="G6" s="11" t="s">
        <v>38</v>
      </c>
    </row>
    <row r="7" spans="1:7" ht="55.5" customHeight="1" x14ac:dyDescent="0.2">
      <c r="A7" s="15">
        <v>4</v>
      </c>
      <c r="B7" s="21" t="s">
        <v>39</v>
      </c>
      <c r="C7" s="22" t="s">
        <v>40</v>
      </c>
      <c r="D7" s="23" t="s">
        <v>41</v>
      </c>
      <c r="E7" s="24" t="s">
        <v>42</v>
      </c>
      <c r="F7" s="20" t="s">
        <v>27</v>
      </c>
      <c r="G7" s="13" t="s">
        <v>43</v>
      </c>
    </row>
    <row r="8" spans="1:7" ht="55.5" customHeight="1" x14ac:dyDescent="0.2">
      <c r="A8" s="15">
        <v>5</v>
      </c>
      <c r="B8" s="16" t="s">
        <v>44</v>
      </c>
      <c r="C8" s="17" t="s">
        <v>45</v>
      </c>
      <c r="D8" s="18" t="s">
        <v>41</v>
      </c>
      <c r="E8" s="19" t="s">
        <v>46</v>
      </c>
      <c r="F8" s="25" t="s">
        <v>33</v>
      </c>
      <c r="G8" s="11" t="s">
        <v>47</v>
      </c>
    </row>
    <row r="9" spans="1:7" ht="55.5" customHeight="1" x14ac:dyDescent="0.2">
      <c r="A9" s="15">
        <v>6</v>
      </c>
      <c r="B9" s="21" t="s">
        <v>48</v>
      </c>
      <c r="C9" s="22" t="s">
        <v>49</v>
      </c>
      <c r="D9" s="23" t="s">
        <v>31</v>
      </c>
      <c r="E9" s="24" t="s">
        <v>50</v>
      </c>
      <c r="F9" s="26" t="s">
        <v>51</v>
      </c>
      <c r="G9" s="13" t="s">
        <v>52</v>
      </c>
    </row>
    <row r="10" spans="1:7" ht="55.5" customHeight="1" x14ac:dyDescent="0.2">
      <c r="A10" s="15">
        <v>7</v>
      </c>
      <c r="B10" s="16" t="s">
        <v>53</v>
      </c>
      <c r="C10" s="17" t="s">
        <v>54</v>
      </c>
      <c r="D10" s="18" t="s">
        <v>41</v>
      </c>
      <c r="E10" s="19" t="s">
        <v>55</v>
      </c>
      <c r="F10" s="26" t="s">
        <v>51</v>
      </c>
      <c r="G10" s="11" t="s">
        <v>56</v>
      </c>
    </row>
    <row r="11" spans="1:7" ht="55.5" customHeight="1" x14ac:dyDescent="0.2">
      <c r="A11" s="15">
        <v>8</v>
      </c>
      <c r="B11" s="21" t="s">
        <v>57</v>
      </c>
      <c r="C11" s="22" t="s">
        <v>58</v>
      </c>
      <c r="D11" s="23" t="s">
        <v>31</v>
      </c>
      <c r="E11" s="24" t="s">
        <v>59</v>
      </c>
      <c r="F11" s="26" t="s">
        <v>51</v>
      </c>
      <c r="G11" s="13" t="s">
        <v>60</v>
      </c>
    </row>
    <row r="13" spans="1:7" ht="39.75" customHeight="1" x14ac:dyDescent="0.2">
      <c r="A13" s="4" t="s">
        <v>61</v>
      </c>
      <c r="B13" s="4"/>
      <c r="C13" s="4"/>
      <c r="D13" s="4"/>
      <c r="E13" s="4"/>
      <c r="F13" s="4"/>
      <c r="G13" s="4"/>
    </row>
  </sheetData>
  <mergeCells count="2">
    <mergeCell ref="A1:G1"/>
    <mergeCell ref="A13:G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3"/>
  <sheetViews>
    <sheetView showGridLines="0" zoomScaleNormal="100" workbookViewId="0">
      <pane xSplit="3" ySplit="3" topLeftCell="D4" activePane="bottomRight" state="frozen"/>
      <selection pane="topRight" activeCell="D1" sqref="D1"/>
      <selection pane="bottomLeft" activeCell="A4" sqref="A4"/>
      <selection pane="bottomRight" sqref="A1:P1"/>
    </sheetView>
  </sheetViews>
  <sheetFormatPr baseColWidth="10" defaultColWidth="8.6640625" defaultRowHeight="15" x14ac:dyDescent="0.2"/>
  <cols>
    <col min="1" max="1" width="5" customWidth="1"/>
    <col min="2" max="2" width="32" customWidth="1"/>
    <col min="3" max="3" width="16" customWidth="1"/>
    <col min="4" max="15" width="11" customWidth="1"/>
    <col min="16" max="16" width="14" customWidth="1"/>
  </cols>
  <sheetData>
    <row r="1" spans="1:16" ht="31.5" customHeight="1" x14ac:dyDescent="0.2">
      <c r="A1" s="5" t="s">
        <v>62</v>
      </c>
      <c r="B1" s="5"/>
      <c r="C1" s="5"/>
      <c r="D1" s="5"/>
      <c r="E1" s="5"/>
      <c r="F1" s="5"/>
      <c r="G1" s="5"/>
      <c r="H1" s="5"/>
      <c r="I1" s="5"/>
      <c r="J1" s="5"/>
      <c r="K1" s="5"/>
      <c r="L1" s="5"/>
      <c r="M1" s="5"/>
      <c r="N1" s="5"/>
      <c r="O1" s="5"/>
      <c r="P1" s="5"/>
    </row>
    <row r="2" spans="1:16" ht="21.75" customHeight="1" x14ac:dyDescent="0.2">
      <c r="A2" s="3" t="s">
        <v>63</v>
      </c>
      <c r="B2" s="3"/>
      <c r="C2" s="3"/>
      <c r="D2" s="3"/>
      <c r="E2" s="3"/>
      <c r="F2" s="3"/>
      <c r="G2" s="3"/>
      <c r="H2" s="3"/>
      <c r="I2" s="3"/>
      <c r="J2" s="3"/>
      <c r="K2" s="3"/>
      <c r="L2" s="3"/>
      <c r="M2" s="3"/>
      <c r="N2" s="3"/>
      <c r="O2" s="3"/>
      <c r="P2" s="3"/>
    </row>
    <row r="3" spans="1:16" ht="21.75" customHeight="1" x14ac:dyDescent="0.2">
      <c r="A3" s="28" t="s">
        <v>16</v>
      </c>
      <c r="B3" s="28" t="s">
        <v>17</v>
      </c>
      <c r="C3" s="28" t="s">
        <v>64</v>
      </c>
      <c r="D3" s="28" t="s">
        <v>65</v>
      </c>
      <c r="E3" s="28" t="s">
        <v>66</v>
      </c>
      <c r="F3" s="28" t="s">
        <v>67</v>
      </c>
      <c r="G3" s="28" t="s">
        <v>68</v>
      </c>
      <c r="H3" s="28" t="s">
        <v>69</v>
      </c>
      <c r="I3" s="28" t="s">
        <v>70</v>
      </c>
      <c r="J3" s="28" t="s">
        <v>71</v>
      </c>
      <c r="K3" s="28" t="s">
        <v>72</v>
      </c>
      <c r="L3" s="28" t="s">
        <v>73</v>
      </c>
      <c r="M3" s="28" t="s">
        <v>74</v>
      </c>
      <c r="N3" s="28" t="s">
        <v>75</v>
      </c>
      <c r="O3" s="28" t="s">
        <v>76</v>
      </c>
      <c r="P3" s="28" t="s">
        <v>77</v>
      </c>
    </row>
    <row r="4" spans="1:16" ht="21.75" customHeight="1" x14ac:dyDescent="0.2">
      <c r="A4" s="29">
        <v>1</v>
      </c>
      <c r="B4" s="12" t="s">
        <v>23</v>
      </c>
      <c r="C4" s="30" t="s">
        <v>26</v>
      </c>
      <c r="D4" s="31"/>
      <c r="E4" s="31"/>
      <c r="F4" s="31"/>
      <c r="G4" s="32">
        <v>5.1198894535186898</v>
      </c>
      <c r="H4" s="31"/>
      <c r="I4" s="31"/>
      <c r="J4" s="31"/>
      <c r="K4" s="31"/>
      <c r="L4" s="31"/>
      <c r="M4" s="31"/>
      <c r="N4" s="31"/>
      <c r="O4" s="31"/>
      <c r="P4" s="33">
        <f>G4</f>
        <v>5.1198894535186898</v>
      </c>
    </row>
    <row r="5" spans="1:16" ht="28" x14ac:dyDescent="0.2">
      <c r="A5" s="29">
        <v>2</v>
      </c>
      <c r="B5" s="10" t="s">
        <v>78</v>
      </c>
      <c r="C5" s="34" t="s">
        <v>79</v>
      </c>
      <c r="D5" s="35">
        <v>54501.280000000101</v>
      </c>
      <c r="E5" s="35">
        <v>-45188.76</v>
      </c>
      <c r="F5" s="35">
        <v>-43563.070000000102</v>
      </c>
      <c r="G5" s="35">
        <v>-25766.680000000099</v>
      </c>
      <c r="H5" s="36"/>
      <c r="I5" s="36"/>
      <c r="J5" s="36"/>
      <c r="K5" s="36"/>
      <c r="L5" s="36"/>
      <c r="M5" s="36"/>
      <c r="N5" s="36"/>
      <c r="O5" s="36"/>
      <c r="P5" s="37">
        <f>SUM(D5:G5)</f>
        <v>-60017.230000000098</v>
      </c>
    </row>
    <row r="6" spans="1:16" ht="21.75" customHeight="1" x14ac:dyDescent="0.2">
      <c r="A6" s="29">
        <v>3</v>
      </c>
      <c r="B6" s="12" t="s">
        <v>80</v>
      </c>
      <c r="C6" s="30" t="s">
        <v>37</v>
      </c>
      <c r="D6" s="38">
        <v>-53288.239999999802</v>
      </c>
      <c r="E6" s="38">
        <v>124612.23</v>
      </c>
      <c r="F6" s="38">
        <v>113863.3</v>
      </c>
      <c r="G6" s="38">
        <v>71834.710000000006</v>
      </c>
      <c r="H6" s="39"/>
      <c r="I6" s="39"/>
      <c r="J6" s="39"/>
      <c r="K6" s="39"/>
      <c r="L6" s="39"/>
      <c r="M6" s="39"/>
      <c r="N6" s="39"/>
      <c r="O6" s="39"/>
      <c r="P6" s="37">
        <f>SUM(D6:G6)</f>
        <v>257022.00000000023</v>
      </c>
    </row>
    <row r="7" spans="1:16" ht="21.75" customHeight="1" x14ac:dyDescent="0.2">
      <c r="A7" s="29">
        <v>4</v>
      </c>
      <c r="B7" s="10" t="s">
        <v>81</v>
      </c>
      <c r="C7" s="34" t="s">
        <v>82</v>
      </c>
      <c r="D7" s="40"/>
      <c r="E7" s="40"/>
      <c r="F7" s="40"/>
      <c r="G7" s="41">
        <v>0.80675351884348101</v>
      </c>
      <c r="H7" s="40"/>
      <c r="I7" s="40"/>
      <c r="J7" s="40"/>
      <c r="K7" s="40"/>
      <c r="L7" s="40"/>
      <c r="M7" s="40"/>
      <c r="N7" s="40"/>
      <c r="O7" s="40"/>
      <c r="P7" s="42">
        <f>IFERROR(AVERAGE(D7:G7),0)</f>
        <v>0.80675351884348101</v>
      </c>
    </row>
    <row r="8" spans="1:16" ht="21.75" customHeight="1" x14ac:dyDescent="0.2">
      <c r="A8" s="29">
        <v>5</v>
      </c>
      <c r="B8" s="12" t="s">
        <v>83</v>
      </c>
      <c r="C8" s="30" t="s">
        <v>84</v>
      </c>
      <c r="D8" s="43"/>
      <c r="E8" s="43"/>
      <c r="F8" s="43"/>
      <c r="G8" s="44">
        <v>0.67809073214023297</v>
      </c>
      <c r="H8" s="43"/>
      <c r="I8" s="43"/>
      <c r="J8" s="43"/>
      <c r="K8" s="43"/>
      <c r="L8" s="43"/>
      <c r="M8" s="43"/>
      <c r="N8" s="43"/>
      <c r="O8" s="43"/>
      <c r="P8" s="42">
        <f>IFERROR(IF(COUNT(G8)&gt;0,G8,IF(COUNT(F8)&gt;0,F8,IF(COUNT(E8)&gt;0,E8,D8))),0)</f>
        <v>0.67809073214023297</v>
      </c>
    </row>
    <row r="9" spans="1:16" ht="21.75" customHeight="1" x14ac:dyDescent="0.2">
      <c r="A9" s="29">
        <v>6</v>
      </c>
      <c r="B9" s="10" t="s">
        <v>85</v>
      </c>
      <c r="C9" s="34" t="s">
        <v>86</v>
      </c>
      <c r="D9" s="45"/>
      <c r="E9" s="45"/>
      <c r="F9" s="45"/>
      <c r="G9" s="45"/>
      <c r="H9" s="45"/>
      <c r="I9" s="45"/>
      <c r="J9" s="45"/>
      <c r="K9" s="45"/>
      <c r="L9" s="45"/>
      <c r="M9" s="45"/>
      <c r="N9" s="45"/>
      <c r="O9" s="45"/>
      <c r="P9" s="46"/>
    </row>
    <row r="10" spans="1:16" ht="21.75" customHeight="1" x14ac:dyDescent="0.2">
      <c r="A10" s="29">
        <v>7</v>
      </c>
      <c r="B10" s="12" t="s">
        <v>53</v>
      </c>
      <c r="C10" s="30" t="s">
        <v>87</v>
      </c>
      <c r="D10" s="43"/>
      <c r="E10" s="43"/>
      <c r="F10" s="43"/>
      <c r="G10" s="43"/>
      <c r="H10" s="43"/>
      <c r="I10" s="43"/>
      <c r="J10" s="43"/>
      <c r="K10" s="43"/>
      <c r="L10" s="43"/>
      <c r="M10" s="43"/>
      <c r="N10" s="43"/>
      <c r="O10" s="43"/>
      <c r="P10" s="42">
        <f>IFERROR(IF(COUNT(G10)&gt;0,G10,IF(COUNT(F10)&gt;0,F10,IF(COUNT(E10)&gt;0,E10,D10))),0)</f>
        <v>0</v>
      </c>
    </row>
    <row r="11" spans="1:16" ht="21.75" customHeight="1" x14ac:dyDescent="0.2">
      <c r="A11" s="29">
        <v>8</v>
      </c>
      <c r="B11" s="10" t="s">
        <v>57</v>
      </c>
      <c r="C11" s="34" t="s">
        <v>88</v>
      </c>
      <c r="D11" s="36"/>
      <c r="E11" s="36"/>
      <c r="F11" s="36"/>
      <c r="G11" s="36"/>
      <c r="H11" s="36"/>
      <c r="I11" s="36"/>
      <c r="J11" s="36"/>
      <c r="K11" s="36"/>
      <c r="L11" s="36"/>
      <c r="M11" s="36"/>
      <c r="N11" s="36"/>
      <c r="O11" s="36"/>
      <c r="P11" s="37">
        <f>IFERROR(AVERAGE(D11:G11),0)</f>
        <v>0</v>
      </c>
    </row>
    <row r="13" spans="1:16" ht="21.75" customHeight="1" x14ac:dyDescent="0.2">
      <c r="A13" s="2" t="s">
        <v>89</v>
      </c>
      <c r="B13" s="2"/>
      <c r="C13" s="2"/>
      <c r="D13" s="2"/>
      <c r="E13" s="2"/>
      <c r="F13" s="2"/>
      <c r="G13" s="2"/>
      <c r="H13" s="2"/>
      <c r="I13" s="2"/>
      <c r="J13" s="2"/>
      <c r="K13" s="2"/>
      <c r="L13" s="2"/>
      <c r="M13" s="2"/>
      <c r="N13" s="2"/>
      <c r="O13" s="2"/>
      <c r="P13" s="2"/>
    </row>
  </sheetData>
  <mergeCells count="3">
    <mergeCell ref="A1:P1"/>
    <mergeCell ref="A2:P2"/>
    <mergeCell ref="A13:P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zoomScaleNormal="100" workbookViewId="0">
      <selection sqref="A1:F1"/>
    </sheetView>
  </sheetViews>
  <sheetFormatPr baseColWidth="10" defaultColWidth="8.6640625" defaultRowHeight="15" x14ac:dyDescent="0.2"/>
  <cols>
    <col min="1" max="1" width="5" customWidth="1"/>
    <col min="2" max="2" width="30" customWidth="1"/>
    <col min="3" max="5" width="22" customWidth="1"/>
    <col min="6" max="6" width="38" customWidth="1"/>
  </cols>
  <sheetData>
    <row r="1" spans="1:6" ht="31.5" customHeight="1" x14ac:dyDescent="0.2">
      <c r="A1" s="5" t="s">
        <v>90</v>
      </c>
      <c r="B1" s="5"/>
      <c r="C1" s="5"/>
      <c r="D1" s="5"/>
      <c r="E1" s="5"/>
      <c r="F1" s="5"/>
    </row>
    <row r="2" spans="1:6" ht="12" customHeight="1" x14ac:dyDescent="0.2"/>
    <row r="3" spans="1:6" ht="25.5" customHeight="1" x14ac:dyDescent="0.2">
      <c r="A3" s="14" t="s">
        <v>16</v>
      </c>
      <c r="B3" s="14" t="s">
        <v>17</v>
      </c>
      <c r="C3" s="14" t="s">
        <v>91</v>
      </c>
      <c r="D3" s="14" t="s">
        <v>92</v>
      </c>
      <c r="E3" s="14" t="s">
        <v>93</v>
      </c>
      <c r="F3" s="14" t="s">
        <v>94</v>
      </c>
    </row>
    <row r="4" spans="1:6" ht="31.5" customHeight="1" x14ac:dyDescent="0.2">
      <c r="A4" s="29">
        <v>1</v>
      </c>
      <c r="B4" s="10" t="s">
        <v>23</v>
      </c>
      <c r="C4" s="48" t="s">
        <v>26</v>
      </c>
      <c r="D4" s="49" t="s">
        <v>95</v>
      </c>
      <c r="E4" s="50" t="s">
        <v>96</v>
      </c>
      <c r="F4" s="51" t="s">
        <v>97</v>
      </c>
    </row>
    <row r="5" spans="1:6" ht="31.5" customHeight="1" x14ac:dyDescent="0.2">
      <c r="A5" s="29">
        <v>2</v>
      </c>
      <c r="B5" s="12" t="s">
        <v>98</v>
      </c>
      <c r="C5" s="52" t="s">
        <v>99</v>
      </c>
      <c r="D5" s="53" t="s">
        <v>100</v>
      </c>
      <c r="E5" s="54" t="s">
        <v>101</v>
      </c>
      <c r="F5" s="27" t="s">
        <v>102</v>
      </c>
    </row>
    <row r="6" spans="1:6" ht="31.5" customHeight="1" x14ac:dyDescent="0.2">
      <c r="A6" s="29">
        <v>3</v>
      </c>
      <c r="B6" s="10" t="s">
        <v>103</v>
      </c>
      <c r="C6" s="48" t="s">
        <v>104</v>
      </c>
      <c r="D6" s="49" t="s">
        <v>105</v>
      </c>
      <c r="E6" s="50" t="s">
        <v>106</v>
      </c>
      <c r="F6" s="51" t="s">
        <v>107</v>
      </c>
    </row>
    <row r="7" spans="1:6" ht="31.5" customHeight="1" x14ac:dyDescent="0.2">
      <c r="A7" s="29">
        <v>4</v>
      </c>
      <c r="B7" s="12" t="s">
        <v>39</v>
      </c>
      <c r="C7" s="52" t="s">
        <v>108</v>
      </c>
      <c r="D7" s="53" t="s">
        <v>109</v>
      </c>
      <c r="E7" s="54" t="s">
        <v>110</v>
      </c>
      <c r="F7" s="27" t="s">
        <v>111</v>
      </c>
    </row>
    <row r="8" spans="1:6" ht="31.5" customHeight="1" x14ac:dyDescent="0.2">
      <c r="A8" s="29">
        <v>5</v>
      </c>
      <c r="B8" s="10" t="s">
        <v>112</v>
      </c>
      <c r="C8" s="48" t="s">
        <v>84</v>
      </c>
      <c r="D8" s="49" t="s">
        <v>113</v>
      </c>
      <c r="E8" s="50" t="s">
        <v>114</v>
      </c>
      <c r="F8" s="51" t="s">
        <v>115</v>
      </c>
    </row>
    <row r="9" spans="1:6" ht="31.5" customHeight="1" x14ac:dyDescent="0.2">
      <c r="A9" s="29">
        <v>6</v>
      </c>
      <c r="B9" s="12" t="s">
        <v>48</v>
      </c>
      <c r="C9" s="52" t="s">
        <v>116</v>
      </c>
      <c r="D9" s="53" t="s">
        <v>117</v>
      </c>
      <c r="E9" s="54" t="s">
        <v>118</v>
      </c>
      <c r="F9" s="27" t="s">
        <v>119</v>
      </c>
    </row>
    <row r="10" spans="1:6" ht="31.5" customHeight="1" x14ac:dyDescent="0.2">
      <c r="A10" s="29">
        <v>7</v>
      </c>
      <c r="B10" s="10" t="s">
        <v>53</v>
      </c>
      <c r="C10" s="48" t="s">
        <v>87</v>
      </c>
      <c r="D10" s="49" t="s">
        <v>113</v>
      </c>
      <c r="E10" s="50" t="s">
        <v>84</v>
      </c>
      <c r="F10" s="51" t="s">
        <v>120</v>
      </c>
    </row>
    <row r="11" spans="1:6" ht="31.5" customHeight="1" x14ac:dyDescent="0.2">
      <c r="A11" s="29">
        <v>8</v>
      </c>
      <c r="B11" s="12" t="s">
        <v>57</v>
      </c>
      <c r="C11" s="52" t="s">
        <v>121</v>
      </c>
      <c r="D11" s="53" t="s">
        <v>122</v>
      </c>
      <c r="E11" s="54" t="s">
        <v>123</v>
      </c>
      <c r="F11" s="27" t="s">
        <v>124</v>
      </c>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showGridLines="0" zoomScaleNormal="100" workbookViewId="0">
      <selection activeCell="D5" sqref="D5"/>
    </sheetView>
  </sheetViews>
  <sheetFormatPr baseColWidth="10" defaultColWidth="8.6640625" defaultRowHeight="15" x14ac:dyDescent="0.2"/>
  <cols>
    <col min="1" max="1" width="5" customWidth="1"/>
    <col min="2" max="2" width="30" customWidth="1"/>
    <col min="3" max="3" width="65" customWidth="1"/>
    <col min="4" max="4" width="60" customWidth="1"/>
  </cols>
  <sheetData>
    <row r="1" spans="1:4" ht="31.5" customHeight="1" x14ac:dyDescent="0.2">
      <c r="A1" s="5" t="s">
        <v>125</v>
      </c>
      <c r="B1" s="5"/>
      <c r="C1" s="5"/>
      <c r="D1" s="5"/>
    </row>
    <row r="2" spans="1:4" ht="12" customHeight="1" x14ac:dyDescent="0.2"/>
    <row r="3" spans="1:4" ht="25.5" customHeight="1" x14ac:dyDescent="0.2">
      <c r="A3" s="14" t="s">
        <v>16</v>
      </c>
      <c r="B3" s="14" t="s">
        <v>17</v>
      </c>
      <c r="C3" s="14" t="s">
        <v>126</v>
      </c>
      <c r="D3" s="14" t="s">
        <v>127</v>
      </c>
    </row>
    <row r="4" spans="1:4" ht="79.5" customHeight="1" x14ac:dyDescent="0.2">
      <c r="A4" s="29">
        <v>1</v>
      </c>
      <c r="B4" s="55" t="s">
        <v>23</v>
      </c>
      <c r="C4" s="56" t="s">
        <v>128</v>
      </c>
      <c r="D4" s="69" t="s">
        <v>193</v>
      </c>
    </row>
    <row r="5" spans="1:4" ht="79.5" customHeight="1" x14ac:dyDescent="0.2">
      <c r="A5" s="29">
        <v>2</v>
      </c>
      <c r="B5" s="57" t="s">
        <v>98</v>
      </c>
      <c r="C5" s="58" t="s">
        <v>129</v>
      </c>
      <c r="D5" s="13" t="s">
        <v>130</v>
      </c>
    </row>
    <row r="6" spans="1:4" ht="79.5" customHeight="1" x14ac:dyDescent="0.2">
      <c r="A6" s="29">
        <v>3</v>
      </c>
      <c r="B6" s="55" t="s">
        <v>103</v>
      </c>
      <c r="C6" s="56" t="s">
        <v>131</v>
      </c>
      <c r="D6" s="11" t="s">
        <v>132</v>
      </c>
    </row>
    <row r="7" spans="1:4" ht="79.5" customHeight="1" x14ac:dyDescent="0.2">
      <c r="A7" s="29">
        <v>4</v>
      </c>
      <c r="B7" s="57" t="s">
        <v>39</v>
      </c>
      <c r="C7" s="58" t="s">
        <v>133</v>
      </c>
      <c r="D7" s="13" t="s">
        <v>134</v>
      </c>
    </row>
    <row r="8" spans="1:4" ht="79.5" customHeight="1" x14ac:dyDescent="0.2">
      <c r="A8" s="29">
        <v>5</v>
      </c>
      <c r="B8" s="55" t="s">
        <v>135</v>
      </c>
      <c r="C8" s="56" t="s">
        <v>136</v>
      </c>
      <c r="D8" s="11" t="s">
        <v>137</v>
      </c>
    </row>
    <row r="9" spans="1:4" ht="79.5" customHeight="1" x14ac:dyDescent="0.2">
      <c r="A9" s="29">
        <v>6</v>
      </c>
      <c r="B9" s="57" t="s">
        <v>48</v>
      </c>
      <c r="C9" s="58" t="s">
        <v>138</v>
      </c>
      <c r="D9" s="13" t="s">
        <v>139</v>
      </c>
    </row>
    <row r="10" spans="1:4" ht="79.5" customHeight="1" x14ac:dyDescent="0.2">
      <c r="A10" s="29">
        <v>7</v>
      </c>
      <c r="B10" s="55" t="s">
        <v>53</v>
      </c>
      <c r="C10" s="56" t="s">
        <v>140</v>
      </c>
      <c r="D10" s="11" t="s">
        <v>141</v>
      </c>
    </row>
    <row r="11" spans="1:4" ht="79.5" customHeight="1" x14ac:dyDescent="0.2">
      <c r="A11" s="29">
        <v>8</v>
      </c>
      <c r="B11" s="57" t="s">
        <v>57</v>
      </c>
      <c r="C11" s="58" t="s">
        <v>142</v>
      </c>
      <c r="D11" s="13" t="s">
        <v>143</v>
      </c>
    </row>
  </sheetData>
  <mergeCells count="1">
    <mergeCell ref="A1:D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7"/>
  <sheetViews>
    <sheetView showGridLines="0" topLeftCell="A2" zoomScaleNormal="100" workbookViewId="0">
      <selection sqref="A1:C1"/>
    </sheetView>
  </sheetViews>
  <sheetFormatPr baseColWidth="10" defaultColWidth="8.6640625" defaultRowHeight="15" x14ac:dyDescent="0.2"/>
  <cols>
    <col min="1" max="1" width="40" customWidth="1"/>
    <col min="2" max="2" width="22" customWidth="1"/>
    <col min="3" max="3" width="55" customWidth="1"/>
  </cols>
  <sheetData>
    <row r="1" spans="1:3" ht="31.5" customHeight="1" x14ac:dyDescent="0.2">
      <c r="A1" s="5" t="s">
        <v>144</v>
      </c>
      <c r="B1" s="5"/>
      <c r="C1" s="5"/>
    </row>
    <row r="2" spans="1:3" ht="12" customHeight="1" x14ac:dyDescent="0.2"/>
    <row r="3" spans="1:3" ht="21.75" customHeight="1" x14ac:dyDescent="0.2">
      <c r="A3" s="1" t="s">
        <v>145</v>
      </c>
      <c r="B3" s="1"/>
      <c r="C3" s="1"/>
    </row>
    <row r="4" spans="1:3" ht="19.5" customHeight="1" x14ac:dyDescent="0.2">
      <c r="A4" s="59" t="s">
        <v>146</v>
      </c>
      <c r="B4" s="60">
        <v>64099.42</v>
      </c>
      <c r="C4" s="61" t="s">
        <v>147</v>
      </c>
    </row>
    <row r="5" spans="1:3" ht="19.5" customHeight="1" x14ac:dyDescent="0.2">
      <c r="A5" s="62" t="s">
        <v>148</v>
      </c>
      <c r="B5" s="63">
        <v>924193.43</v>
      </c>
      <c r="C5" s="47" t="s">
        <v>147</v>
      </c>
    </row>
    <row r="6" spans="1:3" ht="19.5" customHeight="1" x14ac:dyDescent="0.2">
      <c r="A6" s="59" t="s">
        <v>149</v>
      </c>
      <c r="B6" s="64">
        <f>SUM(B4:B5)</f>
        <v>988292.85000000009</v>
      </c>
      <c r="C6" s="61" t="s">
        <v>150</v>
      </c>
    </row>
    <row r="7" spans="1:3" ht="6" customHeight="1" x14ac:dyDescent="0.2"/>
    <row r="8" spans="1:3" ht="19.5" customHeight="1" x14ac:dyDescent="0.2">
      <c r="A8" s="59" t="s">
        <v>151</v>
      </c>
      <c r="B8" s="60">
        <v>1831396.99</v>
      </c>
      <c r="C8" s="61" t="s">
        <v>152</v>
      </c>
    </row>
    <row r="9" spans="1:3" ht="19.5" customHeight="1" x14ac:dyDescent="0.2">
      <c r="A9" s="62" t="s">
        <v>153</v>
      </c>
      <c r="B9" s="63">
        <v>1891274.8</v>
      </c>
      <c r="C9" s="47" t="s">
        <v>152</v>
      </c>
    </row>
    <row r="10" spans="1:3" ht="19.5" customHeight="1" x14ac:dyDescent="0.2">
      <c r="A10" s="59" t="s">
        <v>154</v>
      </c>
      <c r="B10" s="64">
        <f>B8-B9</f>
        <v>-59877.810000000056</v>
      </c>
      <c r="C10" s="61" t="s">
        <v>155</v>
      </c>
    </row>
    <row r="11" spans="1:3" ht="19.5" customHeight="1" x14ac:dyDescent="0.2">
      <c r="A11" s="62" t="s">
        <v>156</v>
      </c>
      <c r="B11" s="63">
        <v>1119154.3400000001</v>
      </c>
      <c r="C11" s="47" t="s">
        <v>157</v>
      </c>
    </row>
    <row r="12" spans="1:3" ht="19.5" customHeight="1" x14ac:dyDescent="0.2">
      <c r="A12" s="59" t="s">
        <v>158</v>
      </c>
      <c r="B12" s="60">
        <v>1119154.3400000001</v>
      </c>
      <c r="C12" s="61" t="s">
        <v>159</v>
      </c>
    </row>
    <row r="13" spans="1:3" ht="19.5" customHeight="1" x14ac:dyDescent="0.2">
      <c r="A13" s="62" t="s">
        <v>160</v>
      </c>
      <c r="B13" s="65">
        <f>B8-B11</f>
        <v>712242.64999999991</v>
      </c>
      <c r="C13" s="47" t="s">
        <v>155</v>
      </c>
    </row>
    <row r="14" spans="1:3" ht="19.5" customHeight="1" x14ac:dyDescent="0.2">
      <c r="A14" s="59" t="s">
        <v>161</v>
      </c>
      <c r="B14" s="64">
        <f>B9-B12</f>
        <v>772120.46</v>
      </c>
      <c r="C14" s="61" t="s">
        <v>155</v>
      </c>
    </row>
    <row r="15" spans="1:3" ht="19.5" customHeight="1" x14ac:dyDescent="0.2">
      <c r="A15" s="62" t="s">
        <v>162</v>
      </c>
      <c r="B15" s="65">
        <f>B13-B14</f>
        <v>-59877.810000000056</v>
      </c>
      <c r="C15" s="47" t="s">
        <v>155</v>
      </c>
    </row>
    <row r="16" spans="1:3" ht="19.5" customHeight="1" x14ac:dyDescent="0.2">
      <c r="A16" s="59" t="s">
        <v>163</v>
      </c>
      <c r="B16" s="64">
        <f>B14/4</f>
        <v>193030.11499999999</v>
      </c>
      <c r="C16" s="61" t="s">
        <v>155</v>
      </c>
    </row>
    <row r="17" spans="1:3" ht="19.5" customHeight="1" x14ac:dyDescent="0.2">
      <c r="A17" s="62" t="s">
        <v>23</v>
      </c>
      <c r="B17" s="66">
        <f>B6/B16</f>
        <v>5.1198894535186916</v>
      </c>
      <c r="C17" s="47" t="s">
        <v>164</v>
      </c>
    </row>
    <row r="18" spans="1:3" ht="6" customHeight="1" x14ac:dyDescent="0.2"/>
    <row r="19" spans="1:3" ht="19.5" customHeight="1" x14ac:dyDescent="0.2">
      <c r="A19" s="62" t="s">
        <v>165</v>
      </c>
      <c r="B19" s="63">
        <v>991426.31</v>
      </c>
      <c r="C19" s="47" t="s">
        <v>166</v>
      </c>
    </row>
    <row r="20" spans="1:3" ht="19.5" customHeight="1" x14ac:dyDescent="0.2">
      <c r="A20" s="59" t="s">
        <v>167</v>
      </c>
      <c r="B20" s="60">
        <v>1248465.54</v>
      </c>
      <c r="C20" s="61" t="s">
        <v>166</v>
      </c>
    </row>
    <row r="21" spans="1:3" ht="19.5" customHeight="1" x14ac:dyDescent="0.2">
      <c r="A21" s="62" t="s">
        <v>168</v>
      </c>
      <c r="B21" s="65">
        <f>B19-B20</f>
        <v>-257039.22999999998</v>
      </c>
      <c r="C21" s="47" t="s">
        <v>155</v>
      </c>
    </row>
    <row r="22" spans="1:3" ht="19.5" customHeight="1" x14ac:dyDescent="0.2">
      <c r="A22" s="59" t="s">
        <v>169</v>
      </c>
      <c r="B22" s="64">
        <f>B10-B21</f>
        <v>197161.41999999993</v>
      </c>
      <c r="C22" s="61" t="s">
        <v>155</v>
      </c>
    </row>
    <row r="23" spans="1:3" ht="6" customHeight="1" x14ac:dyDescent="0.2"/>
    <row r="24" spans="1:3" ht="19.5" customHeight="1" x14ac:dyDescent="0.2">
      <c r="A24" s="59" t="s">
        <v>170</v>
      </c>
      <c r="B24" s="60">
        <v>1525792.6</v>
      </c>
      <c r="C24" s="61" t="s">
        <v>171</v>
      </c>
    </row>
    <row r="25" spans="1:3" ht="19.5" customHeight="1" x14ac:dyDescent="0.2">
      <c r="A25" s="62" t="s">
        <v>172</v>
      </c>
      <c r="B25" s="63">
        <v>406638.26</v>
      </c>
      <c r="C25" s="47" t="s">
        <v>173</v>
      </c>
    </row>
    <row r="26" spans="1:3" ht="19.5" customHeight="1" x14ac:dyDescent="0.2">
      <c r="A26" s="59" t="s">
        <v>174</v>
      </c>
      <c r="B26" s="60">
        <v>365482.2</v>
      </c>
      <c r="C26" s="61" t="s">
        <v>175</v>
      </c>
    </row>
    <row r="27" spans="1:3" ht="19.5" customHeight="1" x14ac:dyDescent="0.2">
      <c r="A27" s="62" t="s">
        <v>176</v>
      </c>
      <c r="B27" s="67">
        <f>B24/B9</f>
        <v>0.80675351884348068</v>
      </c>
      <c r="C27" s="47" t="s">
        <v>177</v>
      </c>
    </row>
    <row r="28" spans="1:3" ht="19.5" customHeight="1" x14ac:dyDescent="0.2">
      <c r="A28" s="59" t="s">
        <v>178</v>
      </c>
      <c r="B28" s="68">
        <f>B25/(B25+B26)</f>
        <v>0.52665132070195375</v>
      </c>
      <c r="C28" s="61" t="s">
        <v>179</v>
      </c>
    </row>
    <row r="29" spans="1:3" ht="6" customHeight="1" x14ac:dyDescent="0.2"/>
    <row r="30" spans="1:3" ht="19.5" customHeight="1" x14ac:dyDescent="0.2">
      <c r="A30" s="59" t="s">
        <v>180</v>
      </c>
      <c r="B30" s="60">
        <v>482965.14</v>
      </c>
      <c r="C30" s="61" t="s">
        <v>181</v>
      </c>
    </row>
    <row r="31" spans="1:3" ht="19.5" customHeight="1" x14ac:dyDescent="0.2">
      <c r="A31" s="62" t="s">
        <v>182</v>
      </c>
      <c r="B31" s="63">
        <v>188966.2</v>
      </c>
      <c r="C31" s="47" t="s">
        <v>183</v>
      </c>
    </row>
    <row r="32" spans="1:3" ht="19.5" customHeight="1" x14ac:dyDescent="0.2">
      <c r="A32" s="59" t="s">
        <v>184</v>
      </c>
      <c r="B32" s="60">
        <v>18398</v>
      </c>
      <c r="C32" s="61" t="s">
        <v>185</v>
      </c>
    </row>
    <row r="33" spans="1:3" ht="19.5" customHeight="1" x14ac:dyDescent="0.2">
      <c r="A33" s="62" t="s">
        <v>186</v>
      </c>
      <c r="B33" s="65">
        <f>B13</f>
        <v>712242.64999999991</v>
      </c>
      <c r="C33" s="47" t="s">
        <v>187</v>
      </c>
    </row>
    <row r="34" spans="1:3" ht="19.5" customHeight="1" x14ac:dyDescent="0.2">
      <c r="A34" s="59" t="s">
        <v>188</v>
      </c>
      <c r="B34" s="68">
        <f>B30/B33</f>
        <v>0.67809073214023352</v>
      </c>
      <c r="C34" s="61" t="s">
        <v>189</v>
      </c>
    </row>
    <row r="35" spans="1:3" ht="19.5" customHeight="1" x14ac:dyDescent="0.2">
      <c r="A35" s="62" t="s">
        <v>190</v>
      </c>
      <c r="B35" s="67">
        <f>(B30+B31+B32)/B33</f>
        <v>0.96923336450014641</v>
      </c>
      <c r="C35" s="47" t="s">
        <v>191</v>
      </c>
    </row>
    <row r="36" spans="1:3" ht="12" customHeight="1" x14ac:dyDescent="0.2"/>
    <row r="37" spans="1:3" ht="24" customHeight="1" x14ac:dyDescent="0.2">
      <c r="A37" s="4" t="s">
        <v>192</v>
      </c>
      <c r="B37" s="4"/>
      <c r="C37" s="4"/>
    </row>
  </sheetData>
  <mergeCells count="3">
    <mergeCell ref="A1:C1"/>
    <mergeCell ref="A3:C3"/>
    <mergeCell ref="A37:C3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KPI Scorecard</vt:lpstr>
      <vt:lpstr>Monthly Tracker</vt:lpstr>
      <vt:lpstr>Benchmarks</vt:lpstr>
      <vt:lpstr>Methodology</vt:lpstr>
      <vt:lpstr>CFP 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Karin Lyle</cp:lastModifiedBy>
  <cp:revision>0</cp:revision>
  <dcterms:created xsi:type="dcterms:W3CDTF">2026-05-12T01:47:15Z</dcterms:created>
  <dcterms:modified xsi:type="dcterms:W3CDTF">2026-05-12T01:57:54Z</dcterms:modified>
  <dc:language>en-US</dc:language>
</cp:coreProperties>
</file>