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karin.lyle/Documents/AAA/**CFP/BOD/Finance Committee/May 13 Meeting/"/>
    </mc:Choice>
  </mc:AlternateContent>
  <xr:revisionPtr revIDLastSave="0" documentId="13_ncr:1_{9C0E0D79-B88A-B34C-AB55-89DE643EE745}" xr6:coauthVersionLast="47" xr6:coauthVersionMax="47" xr10:uidLastSave="{00000000-0000-0000-0000-000000000000}"/>
  <bookViews>
    <workbookView xWindow="4200" yWindow="600" windowWidth="20380" windowHeight="14720" tabRatio="500" xr2:uid="{00000000-000D-0000-FFFF-FFFF00000000}"/>
  </bookViews>
  <sheets>
    <sheet name="README" sheetId="1" r:id="rId1"/>
    <sheet name="Dashboard" sheetId="2" r:id="rId2"/>
    <sheet name="Cash" sheetId="3" r:id="rId3"/>
    <sheet name="Revenue &amp; Expenses" sheetId="4" r:id="rId4"/>
    <sheet name="Budget vs Actual" sheetId="5" r:id="rId5"/>
    <sheet name="Project Profitability" sheetId="6" r:id="rId6"/>
    <sheet name="Monthly" sheetId="7" r:id="rId7"/>
    <sheet name="Balance Sheet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9" i="8" l="1"/>
  <c r="C54" i="8"/>
  <c r="C61" i="8" s="1"/>
  <c r="C29" i="8"/>
  <c r="E9" i="7"/>
  <c r="C9" i="7"/>
  <c r="B9" i="7"/>
  <c r="F8" i="7"/>
  <c r="D8" i="7"/>
  <c r="D7" i="7"/>
  <c r="D28" i="2" s="1"/>
  <c r="F6" i="7"/>
  <c r="D6" i="7"/>
  <c r="D5" i="7"/>
  <c r="G5" i="7" s="1"/>
  <c r="G6" i="7" s="1"/>
  <c r="G7" i="7" s="1"/>
  <c r="G8" i="7" s="1"/>
  <c r="G9" i="7" s="1"/>
  <c r="J79" i="6"/>
  <c r="I79" i="6"/>
  <c r="H79" i="6"/>
  <c r="G79" i="6"/>
  <c r="D79" i="6"/>
  <c r="C79" i="6"/>
  <c r="E78" i="6"/>
  <c r="F78" i="6" s="1"/>
  <c r="F77" i="6"/>
  <c r="E77" i="6"/>
  <c r="F76" i="6"/>
  <c r="E76" i="6"/>
  <c r="E75" i="6"/>
  <c r="F75" i="6" s="1"/>
  <c r="E74" i="6"/>
  <c r="F74" i="6" s="1"/>
  <c r="F73" i="6"/>
  <c r="E73" i="6"/>
  <c r="F72" i="6"/>
  <c r="E72" i="6"/>
  <c r="E71" i="6"/>
  <c r="F71" i="6" s="1"/>
  <c r="E70" i="6"/>
  <c r="F70" i="6" s="1"/>
  <c r="F69" i="6"/>
  <c r="E69" i="6"/>
  <c r="F68" i="6"/>
  <c r="E68" i="6"/>
  <c r="E67" i="6"/>
  <c r="F67" i="6" s="1"/>
  <c r="E66" i="6"/>
  <c r="F66" i="6" s="1"/>
  <c r="F65" i="6"/>
  <c r="E65" i="6"/>
  <c r="F64" i="6"/>
  <c r="E64" i="6"/>
  <c r="E63" i="6"/>
  <c r="F63" i="6" s="1"/>
  <c r="E62" i="6"/>
  <c r="F62" i="6" s="1"/>
  <c r="F61" i="6"/>
  <c r="E61" i="6"/>
  <c r="F60" i="6"/>
  <c r="E60" i="6"/>
  <c r="E59" i="6"/>
  <c r="F59" i="6" s="1"/>
  <c r="E58" i="6"/>
  <c r="F58" i="6" s="1"/>
  <c r="F57" i="6"/>
  <c r="E57" i="6"/>
  <c r="F56" i="6"/>
  <c r="E56" i="6"/>
  <c r="E55" i="6"/>
  <c r="F55" i="6" s="1"/>
  <c r="E54" i="6"/>
  <c r="F54" i="6" s="1"/>
  <c r="F53" i="6"/>
  <c r="E53" i="6"/>
  <c r="F52" i="6"/>
  <c r="E52" i="6"/>
  <c r="E51" i="6"/>
  <c r="F51" i="6" s="1"/>
  <c r="E50" i="6"/>
  <c r="F50" i="6" s="1"/>
  <c r="F49" i="6"/>
  <c r="E49" i="6"/>
  <c r="F48" i="6"/>
  <c r="E48" i="6"/>
  <c r="E47" i="6"/>
  <c r="F47" i="6" s="1"/>
  <c r="E46" i="6"/>
  <c r="F46" i="6" s="1"/>
  <c r="F45" i="6"/>
  <c r="E45" i="6"/>
  <c r="F44" i="6"/>
  <c r="E44" i="6"/>
  <c r="E43" i="6"/>
  <c r="F43" i="6" s="1"/>
  <c r="E42" i="6"/>
  <c r="F42" i="6" s="1"/>
  <c r="F41" i="6"/>
  <c r="E41" i="6"/>
  <c r="F40" i="6"/>
  <c r="E40" i="6"/>
  <c r="E39" i="6"/>
  <c r="F39" i="6" s="1"/>
  <c r="E38" i="6"/>
  <c r="F38" i="6" s="1"/>
  <c r="F37" i="6"/>
  <c r="E37" i="6"/>
  <c r="F36" i="6"/>
  <c r="E36" i="6"/>
  <c r="E35" i="6"/>
  <c r="F35" i="6" s="1"/>
  <c r="E34" i="6"/>
  <c r="F34" i="6" s="1"/>
  <c r="F33" i="6"/>
  <c r="E33" i="6"/>
  <c r="F32" i="6"/>
  <c r="E32" i="6"/>
  <c r="E31" i="6"/>
  <c r="F31" i="6" s="1"/>
  <c r="E30" i="6"/>
  <c r="F30" i="6" s="1"/>
  <c r="F29" i="6"/>
  <c r="E29" i="6"/>
  <c r="F28" i="6"/>
  <c r="E28" i="6"/>
  <c r="E27" i="6"/>
  <c r="F27" i="6" s="1"/>
  <c r="E26" i="6"/>
  <c r="F26" i="6" s="1"/>
  <c r="F25" i="6"/>
  <c r="E25" i="6"/>
  <c r="F24" i="6"/>
  <c r="E24" i="6"/>
  <c r="E23" i="6"/>
  <c r="F23" i="6" s="1"/>
  <c r="E22" i="6"/>
  <c r="F22" i="6" s="1"/>
  <c r="F21" i="6"/>
  <c r="E21" i="6"/>
  <c r="F20" i="6"/>
  <c r="E20" i="6"/>
  <c r="E19" i="6"/>
  <c r="F19" i="6" s="1"/>
  <c r="E18" i="6"/>
  <c r="F18" i="6" s="1"/>
  <c r="F17" i="6"/>
  <c r="E17" i="6"/>
  <c r="F16" i="6"/>
  <c r="E16" i="6"/>
  <c r="E15" i="6"/>
  <c r="F15" i="6" s="1"/>
  <c r="E14" i="6"/>
  <c r="F14" i="6" s="1"/>
  <c r="F13" i="6"/>
  <c r="E13" i="6"/>
  <c r="F12" i="6"/>
  <c r="E12" i="6"/>
  <c r="E11" i="6"/>
  <c r="F11" i="6" s="1"/>
  <c r="E10" i="6"/>
  <c r="F10" i="6" s="1"/>
  <c r="F9" i="6"/>
  <c r="E9" i="6"/>
  <c r="F8" i="6"/>
  <c r="E8" i="6"/>
  <c r="E7" i="6"/>
  <c r="F7" i="6" s="1"/>
  <c r="E6" i="6"/>
  <c r="E79" i="6" s="1"/>
  <c r="F79" i="6" s="1"/>
  <c r="H2" i="6"/>
  <c r="E12" i="2" s="1"/>
  <c r="G54" i="5"/>
  <c r="C54" i="5"/>
  <c r="H54" i="5" s="1"/>
  <c r="B54" i="5"/>
  <c r="H53" i="5"/>
  <c r="F53" i="5"/>
  <c r="E53" i="5"/>
  <c r="D53" i="5"/>
  <c r="H52" i="5"/>
  <c r="E52" i="5"/>
  <c r="D52" i="5"/>
  <c r="F52" i="5" s="1"/>
  <c r="H51" i="5"/>
  <c r="F51" i="5"/>
  <c r="E51" i="5"/>
  <c r="D51" i="5"/>
  <c r="H50" i="5"/>
  <c r="E50" i="5"/>
  <c r="D50" i="5"/>
  <c r="F50" i="5" s="1"/>
  <c r="H49" i="5"/>
  <c r="F49" i="5"/>
  <c r="E49" i="5"/>
  <c r="D49" i="5"/>
  <c r="H48" i="5"/>
  <c r="E48" i="5"/>
  <c r="D48" i="5"/>
  <c r="F48" i="5" s="1"/>
  <c r="H47" i="5"/>
  <c r="F47" i="5"/>
  <c r="E47" i="5"/>
  <c r="D47" i="5"/>
  <c r="H46" i="5"/>
  <c r="E46" i="5"/>
  <c r="D46" i="5"/>
  <c r="F46" i="5" s="1"/>
  <c r="H45" i="5"/>
  <c r="F45" i="5"/>
  <c r="E45" i="5"/>
  <c r="D45" i="5"/>
  <c r="H44" i="5"/>
  <c r="E44" i="5"/>
  <c r="D44" i="5"/>
  <c r="F44" i="5" s="1"/>
  <c r="H43" i="5"/>
  <c r="F43" i="5"/>
  <c r="E43" i="5"/>
  <c r="D43" i="5"/>
  <c r="H42" i="5"/>
  <c r="E42" i="5"/>
  <c r="D42" i="5"/>
  <c r="F42" i="5" s="1"/>
  <c r="H41" i="5"/>
  <c r="F41" i="5"/>
  <c r="E41" i="5"/>
  <c r="D41" i="5"/>
  <c r="H40" i="5"/>
  <c r="E40" i="5"/>
  <c r="D40" i="5"/>
  <c r="F40" i="5" s="1"/>
  <c r="H39" i="5"/>
  <c r="F39" i="5"/>
  <c r="E39" i="5"/>
  <c r="D39" i="5"/>
  <c r="H38" i="5"/>
  <c r="E38" i="5"/>
  <c r="D38" i="5"/>
  <c r="F38" i="5" s="1"/>
  <c r="H37" i="5"/>
  <c r="F37" i="5"/>
  <c r="E37" i="5"/>
  <c r="D37" i="5"/>
  <c r="H36" i="5"/>
  <c r="E36" i="5"/>
  <c r="D36" i="5"/>
  <c r="F36" i="5" s="1"/>
  <c r="H35" i="5"/>
  <c r="F35" i="5"/>
  <c r="E35" i="5"/>
  <c r="D35" i="5"/>
  <c r="H34" i="5"/>
  <c r="E34" i="5"/>
  <c r="D34" i="5"/>
  <c r="F34" i="5" s="1"/>
  <c r="H33" i="5"/>
  <c r="F33" i="5"/>
  <c r="E33" i="5"/>
  <c r="D33" i="5"/>
  <c r="H32" i="5"/>
  <c r="E32" i="5"/>
  <c r="D32" i="5"/>
  <c r="F32" i="5" s="1"/>
  <c r="H31" i="5"/>
  <c r="F31" i="5"/>
  <c r="E31" i="5"/>
  <c r="D31" i="5"/>
  <c r="H30" i="5"/>
  <c r="E30" i="5"/>
  <c r="D30" i="5"/>
  <c r="F30" i="5" s="1"/>
  <c r="H29" i="5"/>
  <c r="F29" i="5"/>
  <c r="E29" i="5"/>
  <c r="D29" i="5"/>
  <c r="H28" i="5"/>
  <c r="E28" i="5"/>
  <c r="D28" i="5"/>
  <c r="F28" i="5" s="1"/>
  <c r="H27" i="5"/>
  <c r="F27" i="5"/>
  <c r="E27" i="5"/>
  <c r="D27" i="5"/>
  <c r="H26" i="5"/>
  <c r="E26" i="5"/>
  <c r="D26" i="5"/>
  <c r="F26" i="5" s="1"/>
  <c r="H25" i="5"/>
  <c r="F25" i="5"/>
  <c r="E25" i="5"/>
  <c r="D25" i="5"/>
  <c r="G21" i="5"/>
  <c r="C21" i="5"/>
  <c r="H21" i="5" s="1"/>
  <c r="B21" i="5"/>
  <c r="E21" i="5" s="1"/>
  <c r="H20" i="5"/>
  <c r="F20" i="5"/>
  <c r="E20" i="5"/>
  <c r="D20" i="5"/>
  <c r="H19" i="5"/>
  <c r="E19" i="5"/>
  <c r="D19" i="5"/>
  <c r="F19" i="5" s="1"/>
  <c r="H18" i="5"/>
  <c r="F18" i="5"/>
  <c r="E18" i="5"/>
  <c r="D18" i="5"/>
  <c r="H17" i="5"/>
  <c r="E17" i="5"/>
  <c r="D17" i="5"/>
  <c r="F17" i="5" s="1"/>
  <c r="H16" i="5"/>
  <c r="F16" i="5"/>
  <c r="E16" i="5"/>
  <c r="D16" i="5"/>
  <c r="H15" i="5"/>
  <c r="E15" i="5"/>
  <c r="D15" i="5"/>
  <c r="F15" i="5" s="1"/>
  <c r="H14" i="5"/>
  <c r="F14" i="5"/>
  <c r="E14" i="5"/>
  <c r="D14" i="5"/>
  <c r="H13" i="5"/>
  <c r="E13" i="5"/>
  <c r="D13" i="5"/>
  <c r="F13" i="5" s="1"/>
  <c r="H12" i="5"/>
  <c r="F12" i="5"/>
  <c r="E12" i="5"/>
  <c r="D12" i="5"/>
  <c r="H11" i="5"/>
  <c r="E11" i="5"/>
  <c r="D11" i="5"/>
  <c r="F11" i="5" s="1"/>
  <c r="G7" i="5"/>
  <c r="B7" i="5"/>
  <c r="D21" i="2" s="1"/>
  <c r="H6" i="5"/>
  <c r="E6" i="5"/>
  <c r="D6" i="5"/>
  <c r="F6" i="5" s="1"/>
  <c r="C6" i="5"/>
  <c r="H5" i="5"/>
  <c r="E5" i="5"/>
  <c r="D5" i="5"/>
  <c r="F5" i="5" s="1"/>
  <c r="C5" i="5"/>
  <c r="B58" i="4"/>
  <c r="C51" i="4" s="1"/>
  <c r="C50" i="4"/>
  <c r="C42" i="4"/>
  <c r="C36" i="4"/>
  <c r="C34" i="4"/>
  <c r="B27" i="4"/>
  <c r="C24" i="4" s="1"/>
  <c r="C25" i="4"/>
  <c r="C23" i="4"/>
  <c r="C22" i="4"/>
  <c r="B13" i="4"/>
  <c r="B12" i="4"/>
  <c r="B14" i="4" s="1"/>
  <c r="B7" i="4"/>
  <c r="C7" i="5" s="1"/>
  <c r="B11" i="3"/>
  <c r="B13" i="3" s="1"/>
  <c r="B7" i="3"/>
  <c r="B12" i="3" s="1"/>
  <c r="A12" i="2" s="1"/>
  <c r="D29" i="2"/>
  <c r="C29" i="2"/>
  <c r="B29" i="2"/>
  <c r="C28" i="2"/>
  <c r="B28" i="2"/>
  <c r="D27" i="2"/>
  <c r="C27" i="2"/>
  <c r="B27" i="2"/>
  <c r="D26" i="2"/>
  <c r="C26" i="2"/>
  <c r="B26" i="2"/>
  <c r="G21" i="2"/>
  <c r="M20" i="2"/>
  <c r="G20" i="2"/>
  <c r="J20" i="2" s="1"/>
  <c r="P20" i="2" s="1"/>
  <c r="D20" i="2"/>
  <c r="G19" i="2"/>
  <c r="J19" i="2" s="1"/>
  <c r="P19" i="2" s="1"/>
  <c r="D19" i="2"/>
  <c r="M12" i="2"/>
  <c r="M7" i="2"/>
  <c r="I7" i="2"/>
  <c r="E7" i="2"/>
  <c r="H7" i="5" l="1"/>
  <c r="E7" i="5"/>
  <c r="D7" i="5"/>
  <c r="F7" i="5" s="1"/>
  <c r="M21" i="2"/>
  <c r="J21" i="2"/>
  <c r="P21" i="2" s="1"/>
  <c r="B8" i="3"/>
  <c r="A7" i="2" s="1"/>
  <c r="C18" i="4"/>
  <c r="C26" i="4"/>
  <c r="C37" i="4"/>
  <c r="C45" i="4"/>
  <c r="C53" i="4"/>
  <c r="D9" i="7"/>
  <c r="C44" i="4"/>
  <c r="C19" i="4"/>
  <c r="C54" i="4"/>
  <c r="D21" i="5"/>
  <c r="F6" i="6"/>
  <c r="F7" i="7"/>
  <c r="C38" i="4"/>
  <c r="I12" i="2"/>
  <c r="C20" i="4"/>
  <c r="C31" i="4"/>
  <c r="C39" i="4"/>
  <c r="C47" i="4"/>
  <c r="C55" i="4"/>
  <c r="C52" i="4"/>
  <c r="C46" i="4"/>
  <c r="C21" i="4"/>
  <c r="C32" i="4"/>
  <c r="C40" i="4"/>
  <c r="C48" i="4"/>
  <c r="C56" i="4"/>
  <c r="D54" i="5"/>
  <c r="F5" i="7"/>
  <c r="F9" i="7" s="1"/>
  <c r="M19" i="2"/>
  <c r="C33" i="4"/>
  <c r="C41" i="4"/>
  <c r="C49" i="4"/>
  <c r="C57" i="4"/>
  <c r="E54" i="5"/>
  <c r="C35" i="4"/>
  <c r="C43" i="4"/>
</calcChain>
</file>

<file path=xl/sharedStrings.xml><?xml version="1.0" encoding="utf-8"?>
<sst xmlns="http://schemas.openxmlformats.org/spreadsheetml/2006/main" count="504" uniqueCount="426">
  <si>
    <t>Center for People — Financial Dashboard</t>
  </si>
  <si>
    <t>FY2026 Board of Directors Reporting Package  •  YTD as of April 30, 2026</t>
  </si>
  <si>
    <t>Contents</t>
  </si>
  <si>
    <t>Tab</t>
  </si>
  <si>
    <t>Purpose</t>
  </si>
  <si>
    <t>Dashboard</t>
  </si>
  <si>
    <t>One-page executive summary — KPI tiles, budget vs actual snapshot, monthly trend, top/bottom projects.</t>
  </si>
  <si>
    <t>Cash</t>
  </si>
  <si>
    <t>Cash position, liquidity (months of cash), and benchmark context.</t>
  </si>
  <si>
    <t>Revenue &amp; Expenses</t>
  </si>
  <si>
    <t>YTD totals (incl. and excl. in-kind), revenue by category, expense by category.</t>
  </si>
  <si>
    <t>Budget vs Actual</t>
  </si>
  <si>
    <t>Full YTD budget vs actual by category with variance $/% and Favorable/Unfavorable status.</t>
  </si>
  <si>
    <t>Project Profitability</t>
  </si>
  <si>
    <t>All projects ranked by net surplus/(deficit) YTD with monthly detail.</t>
  </si>
  <si>
    <t>Monthly</t>
  </si>
  <si>
    <t>Monthly P&amp;L trend, cumulative net income, and monthly net vs budget.</t>
  </si>
  <si>
    <t>Balance Sheet</t>
  </si>
  <si>
    <t>Full April 30, 2026 balance sheet from source GL.</t>
  </si>
  <si>
    <t>Source Data</t>
  </si>
  <si>
    <t>•  Income Statement: Blackbaud Financial Edge NXT — Income Statement (Period: 04/30/2026 YTD)</t>
  </si>
  <si>
    <t>•  Balance Sheet: Blackbaud Financial Edge NXT — Balance Sheet (As of 04/30/2026)</t>
  </si>
  <si>
    <t>•  Project Detail: Blackbaud Financial Edge NXT — P&amp;L Project Detail (Periods Jan–Apr 2026)</t>
  </si>
  <si>
    <t>•  Budget: FE_2026OPERBudget KM Import 3-18-26.xlsx (OPER-2026 scenario, monthly periods)</t>
  </si>
  <si>
    <t>Center for People  |  Board Financial Dashboard</t>
  </si>
  <si>
    <t>YTD as of April 30, 2026  •  FY2026 (Calendar Year)  •  Prepared by: Karin Micek, Treasurer</t>
  </si>
  <si>
    <t xml:space="preserve">  Key Performance Indicators (YTD through April 30)</t>
  </si>
  <si>
    <t>CASH ON HAND</t>
  </si>
  <si>
    <t>YTD TOTAL REVENUE</t>
  </si>
  <si>
    <t>YTD TOTAL EXPENSES</t>
  </si>
  <si>
    <t>YTD NET INCOME</t>
  </si>
  <si>
    <t>Operating + Savings (STFIT)</t>
  </si>
  <si>
    <t>Cash + In-Kind (Jan–Apr)</t>
  </si>
  <si>
    <t>Surplus / (Deficit)</t>
  </si>
  <si>
    <t>MONTHS OF CASH</t>
  </si>
  <si>
    <t>PROFITABLE PROJECTS</t>
  </si>
  <si>
    <t>CASH REVENUE YTD</t>
  </si>
  <si>
    <t>CASH EXPENSES YTD</t>
  </si>
  <si>
    <t>Liquidity runway @ cash burn</t>
  </si>
  <si>
    <t>% of projects net-positive YTD</t>
  </si>
  <si>
    <t>Excludes in-kind contributions</t>
  </si>
  <si>
    <t>Excludes in-kind expenses</t>
  </si>
  <si>
    <t xml:space="preserve">  Budget vs Actual — YTD Summary</t>
  </si>
  <si>
    <t>Metric</t>
  </si>
  <si>
    <t>YTD Budget</t>
  </si>
  <si>
    <t>YTD Actual</t>
  </si>
  <si>
    <t>Variance $</t>
  </si>
  <si>
    <t>Variance %</t>
  </si>
  <si>
    <t>Status</t>
  </si>
  <si>
    <t>Revenue</t>
  </si>
  <si>
    <t>Expenses</t>
  </si>
  <si>
    <t>Net Income</t>
  </si>
  <si>
    <t xml:space="preserve">  Monthly Net Income Trend — FY2026</t>
  </si>
  <si>
    <t>Month</t>
  </si>
  <si>
    <t>Jan 2026</t>
  </si>
  <si>
    <t>Feb 2026</t>
  </si>
  <si>
    <t>Mar 2026</t>
  </si>
  <si>
    <t>Apr 2026</t>
  </si>
  <si>
    <t xml:space="preserve">  Project Profitability — Top 5 Surplus &amp; Top 5 Deficit</t>
  </si>
  <si>
    <t>TOP 5 SURPLUS PROJECTS</t>
  </si>
  <si>
    <t>TOP 5 DEFICIT PROJECTS</t>
  </si>
  <si>
    <t>Project</t>
  </si>
  <si>
    <t>Net Surplus</t>
  </si>
  <si>
    <t>Net Deficit</t>
  </si>
  <si>
    <t>[2024] Acklie</t>
  </si>
  <si>
    <t>[8888] General Project</t>
  </si>
  <si>
    <t>[3005] One-time</t>
  </si>
  <si>
    <t>[2015] DOJ SCA</t>
  </si>
  <si>
    <t>[4018] Battle of the Bartenders</t>
  </si>
  <si>
    <t>[2001a] VLS 7/24 - 6/25</t>
  </si>
  <si>
    <t>[2019] POP</t>
  </si>
  <si>
    <t>[5004] Nutrition Equity</t>
  </si>
  <si>
    <t>[3007] Donor-Advised Funds</t>
  </si>
  <si>
    <t>[4004] Give to Lincoln Day</t>
  </si>
  <si>
    <t>Note: General Project [8888] captures non-allocated administrative/overhead expense; the deficit there is funded by unrestricted gifts (a normal pattern for non-profits, not a red flag).</t>
  </si>
  <si>
    <t>Cash Position — As of April 30, 2026</t>
  </si>
  <si>
    <t xml:space="preserve">  Cash &amp; Cash Equivalents</t>
  </si>
  <si>
    <t>Union Bank Checking (Operating)</t>
  </si>
  <si>
    <t>STFIT Savings Account</t>
  </si>
  <si>
    <t>Total Cash &amp; Cash Equivalents</t>
  </si>
  <si>
    <t>Cash on Hand (KPI helper)</t>
  </si>
  <si>
    <t xml:space="preserve">  Liquidity Analysis</t>
  </si>
  <si>
    <t>YTD Cash Expenses (4 months)</t>
  </si>
  <si>
    <t>Months of Cash on Hand</t>
  </si>
  <si>
    <t>Avg Monthly Cash Burn</t>
  </si>
  <si>
    <t xml:space="preserve">  Benchmark Context</t>
  </si>
  <si>
    <t>Industry guideline: 3–6 months of operating cash is considered healthy for non-profits; 6+ months is strong.</t>
  </si>
  <si>
    <t>Revenue &amp; Expenses Summary — YTD April 2026</t>
  </si>
  <si>
    <t xml:space="preserve">  Headline Totals</t>
  </si>
  <si>
    <t>YTD Total</t>
  </si>
  <si>
    <t>Total Revenue (incl. In-Kind)</t>
  </si>
  <si>
    <t>Total Expenses (incl. In-Kind)</t>
  </si>
  <si>
    <t>NET INCOME / (LOSS)</t>
  </si>
  <si>
    <t xml:space="preserve">  Excluding In-Kind (Cash Basis)</t>
  </si>
  <si>
    <t>Total In-Kind (Revenue &amp; Expense, offsetting)</t>
  </si>
  <si>
    <t>Cash Revenue YTD</t>
  </si>
  <si>
    <t>Cash Expenses YTD</t>
  </si>
  <si>
    <t>Cash Net Income YTD</t>
  </si>
  <si>
    <t xml:space="preserve">  Revenue by Category (YTD)</t>
  </si>
  <si>
    <t>Category</t>
  </si>
  <si>
    <t>% of Total</t>
  </si>
  <si>
    <t>In-Kind Contributions</t>
  </si>
  <si>
    <t>Grants</t>
  </si>
  <si>
    <t>Contributions - Unrestricted</t>
  </si>
  <si>
    <t>Rent Income</t>
  </si>
  <si>
    <t>Interest Income</t>
  </si>
  <si>
    <t>Earned Mission Revenue</t>
  </si>
  <si>
    <t>Contributions - Restricted</t>
  </si>
  <si>
    <t>Miscellaneous Income</t>
  </si>
  <si>
    <t>Other Income</t>
  </si>
  <si>
    <t>Total Revenue</t>
  </si>
  <si>
    <t xml:space="preserve">  Expenses by Category (YTD)</t>
  </si>
  <si>
    <t>In-Kind Expenses</t>
  </si>
  <si>
    <t>Salaries</t>
  </si>
  <si>
    <t>Depreciation</t>
  </si>
  <si>
    <t>Supplies</t>
  </si>
  <si>
    <t>Professional Fees</t>
  </si>
  <si>
    <t>Building/Grounds</t>
  </si>
  <si>
    <t>Insurance</t>
  </si>
  <si>
    <t>Payroll Tax</t>
  </si>
  <si>
    <t>Computer/Software</t>
  </si>
  <si>
    <t>Phone/Utilities</t>
  </si>
  <si>
    <t>Group Insurance</t>
  </si>
  <si>
    <t>Accounting Fees</t>
  </si>
  <si>
    <t>Repairs/Maintenance</t>
  </si>
  <si>
    <t>Retirement</t>
  </si>
  <si>
    <t>Equipment Rental</t>
  </si>
  <si>
    <t>Transportation</t>
  </si>
  <si>
    <t>Workers Comp</t>
  </si>
  <si>
    <t>Printing</t>
  </si>
  <si>
    <t>Meetings</t>
  </si>
  <si>
    <t>Legal Fees</t>
  </si>
  <si>
    <t>Advertising</t>
  </si>
  <si>
    <t>Bank Fees</t>
  </si>
  <si>
    <t>Publications/Dues</t>
  </si>
  <si>
    <t>Employee Training</t>
  </si>
  <si>
    <t>Bonus/Employee Exp</t>
  </si>
  <si>
    <t>Postage/Shipping</t>
  </si>
  <si>
    <t>Employee Benefits</t>
  </si>
  <si>
    <t>Total Expenses</t>
  </si>
  <si>
    <t>YTD Budget vs Actual — FY2026 (Jan–Apr)</t>
  </si>
  <si>
    <t>Annual Budget</t>
  </si>
  <si>
    <t>YTD % of Year</t>
  </si>
  <si>
    <t>Net Income / (Loss)</t>
  </si>
  <si>
    <t xml:space="preserve">  Revenue Detail — by Category</t>
  </si>
  <si>
    <t>YTD %</t>
  </si>
  <si>
    <t>Bequest/Endowment</t>
  </si>
  <si>
    <t xml:space="preserve">  Expense Detail — by Category</t>
  </si>
  <si>
    <t>Center Occupancy</t>
  </si>
  <si>
    <t>Other Expense</t>
  </si>
  <si>
    <t>Note: In-Kind contributions and expenses are not budgeted by the organization (a common non-profit practice). They appear in actuals only and offset to zero net impact. Largest "Unfavorable" expense variances on cash-budgeted lines should be the focus of board commentary; budget timing differences (e.g., $100K Bequest planned later in the year) may also drive variances.</t>
  </si>
  <si>
    <t>Project Profitability Ratio — All Projects YTD</t>
  </si>
  <si>
    <t>% Profitable:</t>
  </si>
  <si>
    <t xml:space="preserve">  Project Detail — Revenue, Expense, Net (YTD)</t>
  </si>
  <si>
    <t>Code</t>
  </si>
  <si>
    <t>Project Name</t>
  </si>
  <si>
    <t>Expense</t>
  </si>
  <si>
    <t>Net</t>
  </si>
  <si>
    <t>Margin %</t>
  </si>
  <si>
    <t>Jan</t>
  </si>
  <si>
    <t>Feb</t>
  </si>
  <si>
    <t>Mar</t>
  </si>
  <si>
    <t>Apr</t>
  </si>
  <si>
    <t>Rank</t>
  </si>
  <si>
    <t>2024</t>
  </si>
  <si>
    <t>Acklie</t>
  </si>
  <si>
    <t>3005</t>
  </si>
  <si>
    <t>One-time</t>
  </si>
  <si>
    <t>4018</t>
  </si>
  <si>
    <t>Battle of the Bartenders</t>
  </si>
  <si>
    <t>2019</t>
  </si>
  <si>
    <t>POP</t>
  </si>
  <si>
    <t>3007</t>
  </si>
  <si>
    <t>Donor-Advised Funds</t>
  </si>
  <si>
    <t>4005</t>
  </si>
  <si>
    <t>Q4 Campaign</t>
  </si>
  <si>
    <t>2025a</t>
  </si>
  <si>
    <t>Abel Foundation 2025</t>
  </si>
  <si>
    <t>2001</t>
  </si>
  <si>
    <t>VLS</t>
  </si>
  <si>
    <t>5009</t>
  </si>
  <si>
    <t>SCC Rental</t>
  </si>
  <si>
    <t>3009</t>
  </si>
  <si>
    <t>Workplace Giving</t>
  </si>
  <si>
    <t>3008</t>
  </si>
  <si>
    <t>Stocks/Mutual Funds</t>
  </si>
  <si>
    <t>2006</t>
  </si>
  <si>
    <t>United Way : Nutrition Equity</t>
  </si>
  <si>
    <t>1001c</t>
  </si>
  <si>
    <t>Corporate Training</t>
  </si>
  <si>
    <t>3004</t>
  </si>
  <si>
    <t>Recurring</t>
  </si>
  <si>
    <t>3001</t>
  </si>
  <si>
    <t>Corporate Partners</t>
  </si>
  <si>
    <t>1001b</t>
  </si>
  <si>
    <t>Gallup</t>
  </si>
  <si>
    <t>5011</t>
  </si>
  <si>
    <t>Diaper Bank</t>
  </si>
  <si>
    <t>3010</t>
  </si>
  <si>
    <t>In Memory Of</t>
  </si>
  <si>
    <t>2017</t>
  </si>
  <si>
    <t>Foundations</t>
  </si>
  <si>
    <t>1002</t>
  </si>
  <si>
    <t>ImpactFuel Boxes</t>
  </si>
  <si>
    <t>4002</t>
  </si>
  <si>
    <t>Toyland</t>
  </si>
  <si>
    <t>5000</t>
  </si>
  <si>
    <t>Talent Marketplace</t>
  </si>
  <si>
    <t>2005</t>
  </si>
  <si>
    <t>United Way : ELL</t>
  </si>
  <si>
    <t>3006</t>
  </si>
  <si>
    <t>Planned Giving (Legacy)</t>
  </si>
  <si>
    <t>2022</t>
  </si>
  <si>
    <t>Chase Bank</t>
  </si>
  <si>
    <t>3011</t>
  </si>
  <si>
    <t>Fundraising Event</t>
  </si>
  <si>
    <t>4001</t>
  </si>
  <si>
    <t>Fall Food Festival</t>
  </si>
  <si>
    <t>4003</t>
  </si>
  <si>
    <t>People’s Party</t>
  </si>
  <si>
    <t>4008</t>
  </si>
  <si>
    <t>Apple Dinner</t>
  </si>
  <si>
    <t>4009</t>
  </si>
  <si>
    <t>Bank Conference</t>
  </si>
  <si>
    <t>4011</t>
  </si>
  <si>
    <t>Career Fair</t>
  </si>
  <si>
    <t>5001</t>
  </si>
  <si>
    <t>Workforce Development</t>
  </si>
  <si>
    <t>5002</t>
  </si>
  <si>
    <t>Workforce Development : REAP</t>
  </si>
  <si>
    <t>9999</t>
  </si>
  <si>
    <t>Inactive Projects</t>
  </si>
  <si>
    <t>2018</t>
  </si>
  <si>
    <t>Sherwood</t>
  </si>
  <si>
    <t>2003</t>
  </si>
  <si>
    <t>City of Lincoln : EduTech</t>
  </si>
  <si>
    <t>2004</t>
  </si>
  <si>
    <t>United Way</t>
  </si>
  <si>
    <t>2007</t>
  </si>
  <si>
    <t>DHHS</t>
  </si>
  <si>
    <t>2008</t>
  </si>
  <si>
    <t>DHHS : 5626</t>
  </si>
  <si>
    <t>2010</t>
  </si>
  <si>
    <t>JBC : 2024-25</t>
  </si>
  <si>
    <t>2014</t>
  </si>
  <si>
    <t>CHE - Nutrition Equity</t>
  </si>
  <si>
    <t>2026</t>
  </si>
  <si>
    <t>Jim &amp; Lillian Cooper Foundation</t>
  </si>
  <si>
    <t>2029</t>
  </si>
  <si>
    <t>Lienemann Charitable Foundation</t>
  </si>
  <si>
    <t>4007</t>
  </si>
  <si>
    <t>Dodgeball Tournament</t>
  </si>
  <si>
    <t>5008</t>
  </si>
  <si>
    <t>Client Assistance</t>
  </si>
  <si>
    <t>3003</t>
  </si>
  <si>
    <t>Corporate Partners : In-Kind</t>
  </si>
  <si>
    <t>5005</t>
  </si>
  <si>
    <t>Re-Entry</t>
  </si>
  <si>
    <t>7002</t>
  </si>
  <si>
    <t>InKind</t>
  </si>
  <si>
    <t>8500</t>
  </si>
  <si>
    <t>Recycling Income</t>
  </si>
  <si>
    <t>2002</t>
  </si>
  <si>
    <t>City Of Lincoln</t>
  </si>
  <si>
    <t>4005b</t>
  </si>
  <si>
    <t>Q4 Campaign : EOY Appeal</t>
  </si>
  <si>
    <t>4010</t>
  </si>
  <si>
    <t>Donor Outreach</t>
  </si>
  <si>
    <t>5010</t>
  </si>
  <si>
    <t>RentWise</t>
  </si>
  <si>
    <t>7001</t>
  </si>
  <si>
    <t>Volunteer</t>
  </si>
  <si>
    <t>2011</t>
  </si>
  <si>
    <t>NDED</t>
  </si>
  <si>
    <t>5901</t>
  </si>
  <si>
    <t>Partner Event</t>
  </si>
  <si>
    <t>5006</t>
  </si>
  <si>
    <t>Re-Entry : Opening Doors</t>
  </si>
  <si>
    <t>8505</t>
  </si>
  <si>
    <t>EE Fun Committee</t>
  </si>
  <si>
    <t>5900</t>
  </si>
  <si>
    <t>Gage County</t>
  </si>
  <si>
    <t>4016</t>
  </si>
  <si>
    <t>Progressive Lunches</t>
  </si>
  <si>
    <t>8550</t>
  </si>
  <si>
    <t>Education &amp; Training</t>
  </si>
  <si>
    <t>2023</t>
  </si>
  <si>
    <t>Spectrum</t>
  </si>
  <si>
    <t>2030</t>
  </si>
  <si>
    <t>SNAP Nutrition</t>
  </si>
  <si>
    <t>2013</t>
  </si>
  <si>
    <t>NDED : QCT</t>
  </si>
  <si>
    <t>2020</t>
  </si>
  <si>
    <t>NE Presbyterian</t>
  </si>
  <si>
    <t>2009</t>
  </si>
  <si>
    <t>JBC</t>
  </si>
  <si>
    <t>2027</t>
  </si>
  <si>
    <t>SNAP E&amp;T</t>
  </si>
  <si>
    <t>2012</t>
  </si>
  <si>
    <t>NDED : REAP</t>
  </si>
  <si>
    <t>4004</t>
  </si>
  <si>
    <t>Give to Lincoln Day</t>
  </si>
  <si>
    <t>5004</t>
  </si>
  <si>
    <t>Nutrition Equity</t>
  </si>
  <si>
    <t>2001a</t>
  </si>
  <si>
    <t>VLS 7/24 - 6/25</t>
  </si>
  <si>
    <t>2015</t>
  </si>
  <si>
    <t>DOJ SCA</t>
  </si>
  <si>
    <t>8888</t>
  </si>
  <si>
    <t>General Project</t>
  </si>
  <si>
    <t>TOTAL — ALL PROJECTS</t>
  </si>
  <si>
    <t>Monthly P&amp;L Trend — FY2026</t>
  </si>
  <si>
    <t xml:space="preserve">  Monthly Performance</t>
  </si>
  <si>
    <t>Budget Net</t>
  </si>
  <si>
    <t>Variance vs Budget</t>
  </si>
  <si>
    <t>Cumulative Net</t>
  </si>
  <si>
    <t>January 2026</t>
  </si>
  <si>
    <t>February 2026</t>
  </si>
  <si>
    <t>March 2026</t>
  </si>
  <si>
    <t>April 2026</t>
  </si>
  <si>
    <t>YTD Total (Jan–Apr)</t>
  </si>
  <si>
    <t>Balance Sheet — As of April 30, 2026</t>
  </si>
  <si>
    <t xml:space="preserve">  Assets</t>
  </si>
  <si>
    <t>10100-00-1</t>
  </si>
  <si>
    <t>Union Bank Checking</t>
  </si>
  <si>
    <t>10400-00-1</t>
  </si>
  <si>
    <t>Savings (STFIT) Account</t>
  </si>
  <si>
    <t>11000-00-1</t>
  </si>
  <si>
    <t>Accounts Receivable</t>
  </si>
  <si>
    <t>11100-00-1</t>
  </si>
  <si>
    <t>Grants Receivable</t>
  </si>
  <si>
    <t>11200-00-1</t>
  </si>
  <si>
    <t>Rent Receivables</t>
  </si>
  <si>
    <t>11400-00-1</t>
  </si>
  <si>
    <t>Other Receivables</t>
  </si>
  <si>
    <t>12001-00-1</t>
  </si>
  <si>
    <t>Inventory : Food</t>
  </si>
  <si>
    <t>12002-00-1</t>
  </si>
  <si>
    <t>Inventory - Distribution</t>
  </si>
  <si>
    <t>12003-00-1</t>
  </si>
  <si>
    <t>Inventory - Diapers (Purchase)</t>
  </si>
  <si>
    <t>12004-00-1</t>
  </si>
  <si>
    <t>Inventory - Diapers (Donation)</t>
  </si>
  <si>
    <t>14000-00-1</t>
  </si>
  <si>
    <t>Prepaid Expenses</t>
  </si>
  <si>
    <t>15003-00-1</t>
  </si>
  <si>
    <t>Equipment</t>
  </si>
  <si>
    <t>15004-00-1</t>
  </si>
  <si>
    <t>Vehicles</t>
  </si>
  <si>
    <t>15005-00-1</t>
  </si>
  <si>
    <t>Building</t>
  </si>
  <si>
    <t>15006-00-1</t>
  </si>
  <si>
    <t>Building Improvements</t>
  </si>
  <si>
    <t>15503-00-1</t>
  </si>
  <si>
    <t>Accum. Depr - Equipment</t>
  </si>
  <si>
    <t>15504-00-1</t>
  </si>
  <si>
    <t>Accum. Depr - Vehicles</t>
  </si>
  <si>
    <t>15505-00-1</t>
  </si>
  <si>
    <t>Accum. Depr - Building</t>
  </si>
  <si>
    <t>15506-00-1</t>
  </si>
  <si>
    <t>Accum. Depreciation - Bldg Imp</t>
  </si>
  <si>
    <t>17100-00-1</t>
  </si>
  <si>
    <t>Organization Costs</t>
  </si>
  <si>
    <t>17150-00-1</t>
  </si>
  <si>
    <t>Accum. Amort. - Org. Costs</t>
  </si>
  <si>
    <t>17200-00-1</t>
  </si>
  <si>
    <t>Right-of-Use Asset</t>
  </si>
  <si>
    <t>17250-00-1</t>
  </si>
  <si>
    <t>Accum Amort. - Right of Use</t>
  </si>
  <si>
    <t>19999-00-1</t>
  </si>
  <si>
    <t>Due to/from Other Funds</t>
  </si>
  <si>
    <t>19999-00-2</t>
  </si>
  <si>
    <t>Total Assets</t>
  </si>
  <si>
    <t xml:space="preserve">  Liabilities</t>
  </si>
  <si>
    <t>20000-00-1</t>
  </si>
  <si>
    <t>Accounts Payable</t>
  </si>
  <si>
    <t>20001-00-1</t>
  </si>
  <si>
    <t>Accounts Payable Clearing</t>
  </si>
  <si>
    <t>20002-00-1</t>
  </si>
  <si>
    <t>Credit Card - Union Bank</t>
  </si>
  <si>
    <t>21000-00-1</t>
  </si>
  <si>
    <t>Credit Card Clearing account</t>
  </si>
  <si>
    <t>23000-00-1</t>
  </si>
  <si>
    <t>Accrued Expenses</t>
  </si>
  <si>
    <t>23100-00-1</t>
  </si>
  <si>
    <t>Deferred Grant Income</t>
  </si>
  <si>
    <t>23103-00-1</t>
  </si>
  <si>
    <t>Deferred Rent Income</t>
  </si>
  <si>
    <t>23200-00-1</t>
  </si>
  <si>
    <t>Wages Payable</t>
  </si>
  <si>
    <t>23300-00-1</t>
  </si>
  <si>
    <t>FICA Med Payable</t>
  </si>
  <si>
    <t>23600-00-1</t>
  </si>
  <si>
    <t>State Payroll Taxes Payable</t>
  </si>
  <si>
    <t>23750-00-1</t>
  </si>
  <si>
    <t>Garnishments</t>
  </si>
  <si>
    <t>23751-00-1</t>
  </si>
  <si>
    <t>United Way Payable</t>
  </si>
  <si>
    <t>23800-00-1</t>
  </si>
  <si>
    <t>Benefits Payable</t>
  </si>
  <si>
    <t>23801-00-1</t>
  </si>
  <si>
    <t>Health Insurance Payable</t>
  </si>
  <si>
    <t>23802-00-1</t>
  </si>
  <si>
    <t>Dental/Vision Insur Payable</t>
  </si>
  <si>
    <t>23811-00-1</t>
  </si>
  <si>
    <t>Employee Benefits Payable</t>
  </si>
  <si>
    <t>23820-00-1</t>
  </si>
  <si>
    <t>Retirement 403(b)-ER</t>
  </si>
  <si>
    <t>23825-00-1</t>
  </si>
  <si>
    <t>Retirement 403(b)-EE</t>
  </si>
  <si>
    <t>23900-00-1</t>
  </si>
  <si>
    <t>Accrued Vacation/PTO Expense</t>
  </si>
  <si>
    <t>24000-00-1</t>
  </si>
  <si>
    <t>Use Tax Payable</t>
  </si>
  <si>
    <t>25000-00-1</t>
  </si>
  <si>
    <t>Lease Liability</t>
  </si>
  <si>
    <t>25050-00-1</t>
  </si>
  <si>
    <t>Current portion of Lease Liab</t>
  </si>
  <si>
    <t>Total Liabilities</t>
  </si>
  <si>
    <t xml:space="preserve">  Net Assets</t>
  </si>
  <si>
    <t>39005-00-1</t>
  </si>
  <si>
    <t>Unrestricted Net Assets</t>
  </si>
  <si>
    <t>39007-00-2</t>
  </si>
  <si>
    <t>Temporarily Restricted Net Assets</t>
  </si>
  <si>
    <t>Total Net Assets</t>
  </si>
  <si>
    <t>Total Liabilities + Net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</si>
</sst>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&quot; months&quot;"/>
    <numFmt numFmtId="166" formatCode="0.0%;\(0.0%\);\-"/>
  </numFmts>
  <fonts count="26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2"/>
      <color rgb="FF595959"/>
      <name val="Arial"/>
      <family val="2"/>
    </font>
    <font>
      <b/>
      <sz val="13"/>
      <color rgb="FF1F3A5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95959"/>
      <name val="Arial"/>
      <family val="2"/>
    </font>
    <font>
      <i/>
      <sz val="10"/>
      <color rgb="FF595959"/>
      <name val="Arial"/>
      <family val="2"/>
    </font>
    <font>
      <b/>
      <sz val="12"/>
      <color rgb="FFFFFFFF"/>
      <name val="Arial"/>
      <family val="2"/>
    </font>
    <font>
      <b/>
      <sz val="22"/>
      <color rgb="FFFFFFFF"/>
      <name val="Arial"/>
      <family val="2"/>
    </font>
    <font>
      <i/>
      <sz val="9"/>
      <color rgb="FFFFFFFF"/>
      <name val="Arial"/>
      <family val="2"/>
    </font>
    <font>
      <b/>
      <sz val="10"/>
      <color rgb="FF1F3A5F"/>
      <name val="Arial"/>
      <family val="2"/>
    </font>
    <font>
      <i/>
      <sz val="9"/>
      <color rgb="FF1F3A5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9"/>
      <color rgb="FF595959"/>
      <name val="Arial"/>
      <family val="2"/>
    </font>
    <font>
      <b/>
      <sz val="10"/>
      <color rgb="FF1F7A3F"/>
      <name val="Arial"/>
      <family val="2"/>
    </font>
    <font>
      <b/>
      <sz val="10"/>
      <color rgb="FFC0392B"/>
      <name val="Arial"/>
      <family val="2"/>
    </font>
    <font>
      <i/>
      <sz val="9"/>
      <color rgb="FF595959"/>
      <name val="Arial"/>
      <family val="2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2A9D8F"/>
      <name val="Arial"/>
      <family val="2"/>
    </font>
    <font>
      <b/>
      <sz val="12"/>
      <color rgb="FF2A9D8F"/>
      <name val="Arial"/>
      <family val="2"/>
    </font>
    <font>
      <sz val="9"/>
      <name val="Arial"/>
      <family val="2"/>
    </font>
    <font>
      <sz val="9"/>
      <color rgb="FF59595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264653"/>
      </patternFill>
    </fill>
    <fill>
      <patternFill patternType="solid">
        <fgColor rgb="FFF2F2F2"/>
        <bgColor rgb="FFF9F9F9"/>
      </patternFill>
    </fill>
    <fill>
      <patternFill patternType="solid">
        <fgColor rgb="FF2A9D8F"/>
        <bgColor rgb="FF008080"/>
      </patternFill>
    </fill>
    <fill>
      <patternFill patternType="solid">
        <fgColor rgb="FF264653"/>
        <bgColor rgb="FF1F3A5F"/>
      </patternFill>
    </fill>
    <fill>
      <patternFill patternType="solid">
        <fgColor rgb="FFE76F51"/>
        <bgColor rgb="FFC0504D"/>
      </patternFill>
    </fill>
    <fill>
      <patternFill patternType="solid">
        <fgColor rgb="FFE9C46A"/>
        <bgColor rgb="FFF4A261"/>
      </patternFill>
    </fill>
    <fill>
      <patternFill patternType="solid">
        <fgColor rgb="FFF4A261"/>
        <bgColor rgb="FFE9C46A"/>
      </patternFill>
    </fill>
    <fill>
      <patternFill patternType="solid">
        <fgColor rgb="FF6A994E"/>
        <bgColor rgb="FF878787"/>
      </patternFill>
    </fill>
    <fill>
      <patternFill patternType="solid">
        <fgColor rgb="FF8D5A99"/>
        <bgColor rgb="FF878787"/>
      </patternFill>
    </fill>
  </fills>
  <borders count="3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medium">
        <color rgb="FF595959"/>
      </bottom>
      <diagonal/>
    </border>
  </borders>
  <cellStyleXfs count="1">
    <xf numFmtId="0" fontId="0" fillId="0" borderId="0"/>
  </cellStyleXfs>
  <cellXfs count="114">
    <xf numFmtId="0" fontId="0" fillId="0" borderId="0" xfId="0"/>
    <xf numFmtId="164" fontId="10" fillId="5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7" fillId="0" borderId="0" xfId="0" applyFont="1" applyAlignment="1">
      <alignment horizontal="left" indent="2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wrapText="1" indent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3" borderId="0" xfId="0" applyFill="1" applyAlignment="1">
      <alignment horizontal="center"/>
    </xf>
    <xf numFmtId="164" fontId="0" fillId="3" borderId="0" xfId="0" applyNumberFormat="1" applyFill="1"/>
    <xf numFmtId="0" fontId="6" fillId="0" borderId="0" xfId="0" applyFont="1" applyAlignment="1">
      <alignment horizontal="left" indent="1"/>
    </xf>
    <xf numFmtId="0" fontId="6" fillId="3" borderId="0" xfId="0" applyFont="1" applyFill="1" applyAlignment="1">
      <alignment horizontal="left" indent="1"/>
    </xf>
    <xf numFmtId="0" fontId="15" fillId="3" borderId="0" xfId="0" applyFont="1" applyFill="1" applyAlignment="1">
      <alignment horizontal="left" indent="1"/>
    </xf>
    <xf numFmtId="164" fontId="15" fillId="3" borderId="0" xfId="0" applyNumberFormat="1" applyFont="1" applyFill="1" applyAlignment="1">
      <alignment horizontal="right" indent="1"/>
    </xf>
    <xf numFmtId="0" fontId="0" fillId="3" borderId="0" xfId="0" applyFill="1"/>
    <xf numFmtId="0" fontId="15" fillId="0" borderId="0" xfId="0" applyFont="1" applyAlignment="1">
      <alignment horizontal="left" indent="1"/>
    </xf>
    <xf numFmtId="164" fontId="15" fillId="0" borderId="0" xfId="0" applyNumberFormat="1" applyFont="1" applyAlignment="1">
      <alignment horizontal="right" indent="1"/>
    </xf>
    <xf numFmtId="0" fontId="21" fillId="2" borderId="0" xfId="0" applyFont="1" applyFill="1" applyAlignment="1">
      <alignment horizontal="left" indent="1"/>
    </xf>
    <xf numFmtId="164" fontId="21" fillId="2" borderId="0" xfId="0" applyNumberFormat="1" applyFont="1" applyFill="1" applyAlignment="1">
      <alignment horizontal="right" indent="1"/>
    </xf>
    <xf numFmtId="0" fontId="19" fillId="0" borderId="0" xfId="0" applyFont="1" applyAlignment="1">
      <alignment horizontal="left" indent="1"/>
    </xf>
    <xf numFmtId="164" fontId="19" fillId="0" borderId="0" xfId="0" applyNumberFormat="1" applyFont="1" applyAlignment="1">
      <alignment horizontal="right" indent="1"/>
    </xf>
    <xf numFmtId="0" fontId="14" fillId="0" borderId="0" xfId="0" applyFont="1" applyAlignment="1">
      <alignment horizontal="left" indent="1"/>
    </xf>
    <xf numFmtId="165" fontId="22" fillId="0" borderId="0" xfId="0" applyNumberFormat="1" applyFont="1" applyAlignment="1">
      <alignment horizontal="right" indent="1"/>
    </xf>
    <xf numFmtId="0" fontId="4" fillId="2" borderId="0" xfId="0" applyFont="1" applyFill="1" applyAlignment="1">
      <alignment horizontal="center"/>
    </xf>
    <xf numFmtId="164" fontId="14" fillId="0" borderId="0" xfId="0" applyNumberFormat="1" applyFont="1" applyAlignment="1">
      <alignment horizontal="right" indent="1"/>
    </xf>
    <xf numFmtId="0" fontId="4" fillId="2" borderId="2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right" indent="1"/>
    </xf>
    <xf numFmtId="166" fontId="0" fillId="0" borderId="0" xfId="0" applyNumberFormat="1" applyAlignment="1">
      <alignment horizontal="right" indent="1"/>
    </xf>
    <xf numFmtId="164" fontId="0" fillId="3" borderId="0" xfId="0" applyNumberFormat="1" applyFill="1" applyAlignment="1">
      <alignment horizontal="right" indent="1"/>
    </xf>
    <xf numFmtId="166" fontId="0" fillId="3" borderId="0" xfId="0" applyNumberFormat="1" applyFill="1" applyAlignment="1">
      <alignment horizontal="right" indent="1"/>
    </xf>
    <xf numFmtId="164" fontId="4" fillId="2" borderId="0" xfId="0" applyNumberFormat="1" applyFont="1" applyFill="1" applyAlignment="1">
      <alignment horizontal="right" indent="1"/>
    </xf>
    <xf numFmtId="166" fontId="4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center" vertical="center" wrapText="1"/>
    </xf>
    <xf numFmtId="166" fontId="15" fillId="3" borderId="0" xfId="0" applyNumberFormat="1" applyFont="1" applyFill="1" applyAlignment="1">
      <alignment horizontal="right" indent="1"/>
    </xf>
    <xf numFmtId="166" fontId="15" fillId="0" borderId="0" xfId="0" applyNumberFormat="1" applyFont="1" applyAlignment="1">
      <alignment horizontal="right" indent="1"/>
    </xf>
    <xf numFmtId="166" fontId="21" fillId="2" borderId="0" xfId="0" applyNumberFormat="1" applyFont="1" applyFill="1" applyAlignment="1">
      <alignment horizontal="right" indent="1"/>
    </xf>
    <xf numFmtId="0" fontId="21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21" fillId="2" borderId="0" xfId="0" applyFont="1" applyFill="1" applyAlignment="1">
      <alignment horizontal="center"/>
    </xf>
    <xf numFmtId="0" fontId="8" fillId="0" borderId="0" xfId="0" applyFont="1" applyAlignment="1">
      <alignment horizontal="right" vertical="center"/>
    </xf>
    <xf numFmtId="166" fontId="23" fillId="0" borderId="0" xfId="0" applyNumberFormat="1" applyFont="1" applyAlignment="1">
      <alignment horizontal="left" indent="1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164" fontId="24" fillId="0" borderId="0" xfId="0" applyNumberFormat="1" applyFont="1" applyAlignment="1">
      <alignment horizontal="right" vertical="center" indent="1"/>
    </xf>
    <xf numFmtId="166" fontId="24" fillId="0" borderId="0" xfId="0" applyNumberFormat="1" applyFont="1" applyAlignment="1">
      <alignment horizontal="right" vertical="center" indent="1"/>
    </xf>
    <xf numFmtId="0" fontId="24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 indent="1"/>
    </xf>
    <xf numFmtId="164" fontId="24" fillId="3" borderId="0" xfId="0" applyNumberFormat="1" applyFont="1" applyFill="1" applyAlignment="1">
      <alignment horizontal="right" vertical="center" indent="1"/>
    </xf>
    <xf numFmtId="166" fontId="24" fillId="3" borderId="0" xfId="0" applyNumberFormat="1" applyFont="1" applyFill="1" applyAlignment="1">
      <alignment horizontal="right" vertical="center" indent="1"/>
    </xf>
    <xf numFmtId="0" fontId="4" fillId="2" borderId="0" xfId="0" applyFont="1" applyFill="1"/>
    <xf numFmtId="164" fontId="6" fillId="0" borderId="0" xfId="0" applyNumberFormat="1" applyFont="1" applyAlignment="1">
      <alignment horizontal="right" indent="1"/>
    </xf>
    <xf numFmtId="164" fontId="6" fillId="3" borderId="0" xfId="0" applyNumberFormat="1" applyFont="1" applyFill="1" applyAlignment="1">
      <alignment horizontal="right" indent="1"/>
    </xf>
    <xf numFmtId="0" fontId="2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horizontal="right" vertical="center" indent="1"/>
    </xf>
    <xf numFmtId="0" fontId="25" fillId="3" borderId="0" xfId="0" applyFont="1" applyFill="1" applyAlignment="1">
      <alignment horizontal="left" vertical="center" indent="1"/>
    </xf>
    <xf numFmtId="0" fontId="6" fillId="3" borderId="0" xfId="0" applyFont="1" applyFill="1" applyAlignment="1">
      <alignment horizontal="left" vertical="center" indent="1"/>
    </xf>
    <xf numFmtId="164" fontId="6" fillId="3" borderId="0" xfId="0" applyNumberFormat="1" applyFont="1" applyFill="1" applyAlignment="1">
      <alignment horizontal="right" vertical="center" indent="1"/>
    </xf>
    <xf numFmtId="0" fontId="21" fillId="2" borderId="0" xfId="0" applyFont="1" applyFill="1"/>
    <xf numFmtId="0" fontId="25" fillId="0" borderId="0" xfId="0" applyFont="1" applyAlignment="1">
      <alignment horizontal="left" indent="1"/>
    </xf>
    <xf numFmtId="0" fontId="25" fillId="3" borderId="0" xfId="0" applyFont="1" applyFill="1" applyAlignment="1">
      <alignment horizontal="left" indent="1"/>
    </xf>
    <xf numFmtId="164" fontId="10" fillId="6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65" fontId="10" fillId="7" borderId="0" xfId="0" applyNumberFormat="1" applyFont="1" applyFill="1" applyAlignment="1">
      <alignment horizontal="center" vertical="center"/>
    </xf>
    <xf numFmtId="166" fontId="10" fillId="8" borderId="0" xfId="0" applyNumberFormat="1" applyFont="1" applyFill="1" applyAlignment="1">
      <alignment horizontal="center" vertical="center"/>
    </xf>
    <xf numFmtId="164" fontId="10" fillId="9" borderId="0" xfId="0" applyNumberFormat="1" applyFont="1" applyFill="1" applyAlignment="1">
      <alignment horizontal="center" vertical="center"/>
    </xf>
    <xf numFmtId="164" fontId="10" fillId="10" borderId="0" xfId="0" applyNumberFormat="1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4" fontId="15" fillId="0" borderId="0" xfId="0" applyNumberFormat="1" applyFont="1" applyAlignment="1">
      <alignment horizontal="right" vertical="center" indent="1"/>
    </xf>
    <xf numFmtId="164" fontId="14" fillId="0" borderId="0" xfId="0" applyNumberFormat="1" applyFont="1" applyAlignment="1">
      <alignment horizontal="right" vertical="center" indent="1"/>
    </xf>
    <xf numFmtId="166" fontId="15" fillId="0" borderId="0" xfId="0" applyNumberFormat="1" applyFont="1" applyAlignment="1">
      <alignment horizontal="right" vertical="center" indent="1"/>
    </xf>
    <xf numFmtId="0" fontId="14" fillId="3" borderId="0" xfId="0" applyFont="1" applyFill="1" applyAlignment="1">
      <alignment horizontal="left" vertical="center" indent="1"/>
    </xf>
    <xf numFmtId="164" fontId="15" fillId="3" borderId="0" xfId="0" applyNumberFormat="1" applyFont="1" applyFill="1" applyAlignment="1">
      <alignment horizontal="right" vertical="center" indent="1"/>
    </xf>
    <xf numFmtId="164" fontId="14" fillId="3" borderId="0" xfId="0" applyNumberFormat="1" applyFont="1" applyFill="1" applyAlignment="1">
      <alignment horizontal="right" vertical="center" indent="1"/>
    </xf>
    <xf numFmtId="166" fontId="15" fillId="3" borderId="0" xfId="0" applyNumberFormat="1" applyFont="1" applyFill="1" applyAlignment="1">
      <alignment horizontal="right" vertical="center" indent="1"/>
    </xf>
    <xf numFmtId="0" fontId="16" fillId="0" borderId="1" xfId="0" applyFont="1" applyBorder="1" applyAlignment="1">
      <alignment horizontal="center"/>
    </xf>
    <xf numFmtId="0" fontId="6" fillId="0" borderId="0" xfId="0" applyFont="1" applyAlignment="1">
      <alignment horizontal="left" indent="1"/>
    </xf>
    <xf numFmtId="164" fontId="17" fillId="0" borderId="0" xfId="0" applyNumberFormat="1" applyFont="1" applyAlignment="1">
      <alignment horizontal="right" indent="1"/>
    </xf>
    <xf numFmtId="164" fontId="18" fillId="0" borderId="0" xfId="0" applyNumberFormat="1" applyFont="1" applyAlignment="1">
      <alignment horizontal="right" indent="1"/>
    </xf>
    <xf numFmtId="0" fontId="6" fillId="3" borderId="0" xfId="0" applyFont="1" applyFill="1" applyAlignment="1">
      <alignment horizontal="left" indent="1"/>
    </xf>
    <xf numFmtId="164" fontId="17" fillId="3" borderId="0" xfId="0" applyNumberFormat="1" applyFont="1" applyFill="1" applyAlignment="1">
      <alignment horizontal="right" indent="1"/>
    </xf>
    <xf numFmtId="164" fontId="18" fillId="3" borderId="0" xfId="0" applyNumberFormat="1" applyFont="1" applyFill="1" applyAlignment="1">
      <alignment horizontal="right" indent="1"/>
    </xf>
    <xf numFmtId="0" fontId="19" fillId="0" borderId="0" xfId="0" applyFont="1" applyAlignment="1">
      <alignment horizontal="left" vertical="center" wrapText="1" indent="1"/>
    </xf>
    <xf numFmtId="0" fontId="20" fillId="2" borderId="0" xfId="0" applyFont="1" applyFill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8">
    <dxf>
      <font>
        <b/>
        <sz val="10"/>
        <color rgb="FF721C24"/>
        <name val="Arial"/>
        <charset val="1"/>
      </font>
      <fill>
        <patternFill>
          <bgColor rgb="FFF8D7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8D7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8D7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  <dxf>
      <font>
        <b/>
        <sz val="10"/>
        <color rgb="FF721C24"/>
        <name val="Arial"/>
        <charset val="1"/>
      </font>
      <fill>
        <patternFill>
          <bgColor rgb="FFF8D7DA"/>
        </patternFill>
      </fill>
    </dxf>
    <dxf>
      <font>
        <b/>
        <sz val="10"/>
        <color rgb="FF155724"/>
        <name val="Arial"/>
        <charset val="1"/>
      </font>
      <fill>
        <patternFill>
          <bgColor rgb="FFD4ED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1F7A3F"/>
      <rgbColor rgb="FF000080"/>
      <rgbColor rgb="FF6A994E"/>
      <rgbColor rgb="FF800080"/>
      <rgbColor rgb="FF008080"/>
      <rgbColor rgb="FFF8D7DA"/>
      <rgbColor rgb="FF878787"/>
      <rgbColor rgb="FF9999FF"/>
      <rgbColor rgb="FFAB4744"/>
      <rgbColor rgb="FFF9F9F9"/>
      <rgbColor rgb="FFF2F2F2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E9C46A"/>
      <rgbColor rgb="FF4F81BD"/>
      <rgbColor rgb="FF33CCCC"/>
      <rgbColor rgb="FF99CC00"/>
      <rgbColor rgb="FFFFCC00"/>
      <rgbColor rgb="FFF4A261"/>
      <rgbColor rgb="FFC0504D"/>
      <rgbColor rgb="FF8D5A99"/>
      <rgbColor rgb="FFD09493"/>
      <rgbColor rgb="FF1F3A5F"/>
      <rgbColor rgb="FF2A9D8F"/>
      <rgbColor rgb="FF155724"/>
      <rgbColor rgb="FF333300"/>
      <rgbColor rgb="FFC0392B"/>
      <rgbColor rgb="FFBE4B48"/>
      <rgbColor rgb="FF595959"/>
      <rgbColor rgb="FF26465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Revenue vs Expense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Dashboard!$A$26:$A$29</c:f>
              <c:strCache>
                <c:ptCount val="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</c:strCache>
            </c:strRef>
          </c:cat>
          <c:val>
            <c:numRef>
              <c:f>Dashboard!$B$26:$B$29</c:f>
              <c:numCache>
                <c:formatCode>\$#,##0;"($"#,##0\);\-</c:formatCode>
                <c:ptCount val="4"/>
                <c:pt idx="0">
                  <c:v>493453.89</c:v>
                </c:pt>
                <c:pt idx="1">
                  <c:v>411401.94</c:v>
                </c:pt>
                <c:pt idx="2">
                  <c:v>484329.85</c:v>
                </c:pt>
                <c:pt idx="3">
                  <c:v>442211.31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23-F74A-A317-EE9B222C45A4}"/>
            </c:ext>
          </c:extLst>
        </c:ser>
        <c:ser>
          <c:idx val="1"/>
          <c:order val="1"/>
          <c:tx>
            <c:strRef>
              <c:f>Dashboard!$C$25</c:f>
              <c:strCache>
                <c:ptCount val="1"/>
                <c:pt idx="0">
                  <c:v>Expenses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Dashboard!$A$26:$A$29</c:f>
              <c:strCache>
                <c:ptCount val="4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</c:strCache>
            </c:strRef>
          </c:cat>
          <c:val>
            <c:numRef>
              <c:f>Dashboard!$C$26:$C$29</c:f>
              <c:numCache>
                <c:formatCode>\$#,##0;"($"#,##0\);\-</c:formatCode>
                <c:ptCount val="4"/>
                <c:pt idx="0">
                  <c:v>438952.61</c:v>
                </c:pt>
                <c:pt idx="1">
                  <c:v>456590.7</c:v>
                </c:pt>
                <c:pt idx="2">
                  <c:v>527892.92000000004</c:v>
                </c:pt>
                <c:pt idx="3">
                  <c:v>467977.99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23-F74A-A317-EE9B222C4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077501"/>
        <c:axId val="2262467"/>
      </c:barChart>
      <c:catAx>
        <c:axId val="250775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262467"/>
        <c:crosses val="autoZero"/>
        <c:auto val="1"/>
        <c:lblAlgn val="ctr"/>
        <c:lblOffset val="100"/>
        <c:noMultiLvlLbl val="0"/>
      </c:catAx>
      <c:valAx>
        <c:axId val="2262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07750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Cumulative Net Income (YTD)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Monthly!$G$4</c:f>
              <c:strCache>
                <c:ptCount val="1"/>
                <c:pt idx="0">
                  <c:v>Cumulative Net</c:v>
                </c:pt>
              </c:strCache>
            </c:strRef>
          </c:tx>
          <c:spPr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126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Monthly!$A$5:$A$8</c:f>
              <c:strCache>
                <c:ptCount val="4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</c:strCache>
            </c:strRef>
          </c:cat>
          <c:val>
            <c:numRef>
              <c:f>Monthly!$G$5:$G$8</c:f>
              <c:numCache>
                <c:formatCode>\$#,##0;"($"#,##0\);\-</c:formatCode>
                <c:ptCount val="4"/>
                <c:pt idx="0">
                  <c:v>54501.280000000028</c:v>
                </c:pt>
                <c:pt idx="1">
                  <c:v>9312.5200000000186</c:v>
                </c:pt>
                <c:pt idx="2">
                  <c:v>-34250.550000000047</c:v>
                </c:pt>
                <c:pt idx="3">
                  <c:v>-60017.23000000004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585-BB46-9D68-F69EDA73C8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955220"/>
        <c:axId val="49186871"/>
      </c:lineChart>
      <c:catAx>
        <c:axId val="49552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186871"/>
        <c:crosses val="autoZero"/>
        <c:auto val="1"/>
        <c:lblAlgn val="ctr"/>
        <c:lblOffset val="100"/>
        <c:noMultiLvlLbl val="0"/>
      </c:catAx>
      <c:valAx>
        <c:axId val="491868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5522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Net Income vs Budget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Monthly!$D$4</c:f>
              <c:strCache>
                <c:ptCount val="1"/>
                <c:pt idx="0">
                  <c:v>Net Income</c:v>
                </c:pt>
              </c:strCache>
            </c:strRef>
          </c:tx>
          <c:spPr>
            <a:solidFill>
              <a:srgbClr val="AB474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Monthly!$A$5:$A$8</c:f>
              <c:strCache>
                <c:ptCount val="4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</c:strCache>
            </c:strRef>
          </c:cat>
          <c:val>
            <c:numRef>
              <c:f>Monthly!$D$5:$D$8</c:f>
              <c:numCache>
                <c:formatCode>\$#,##0;"($"#,##0\);\-</c:formatCode>
                <c:ptCount val="4"/>
                <c:pt idx="0">
                  <c:v>54501.280000000028</c:v>
                </c:pt>
                <c:pt idx="1">
                  <c:v>-45188.760000000009</c:v>
                </c:pt>
                <c:pt idx="2">
                  <c:v>-43563.070000000065</c:v>
                </c:pt>
                <c:pt idx="3">
                  <c:v>-25766.679999999993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3-994B-A80D-C4ED60E23EC6}"/>
            </c:ext>
          </c:extLst>
        </c:ser>
        <c:ser>
          <c:idx val="1"/>
          <c:order val="1"/>
          <c:tx>
            <c:strRef>
              <c:f>Monthly!$E$4</c:f>
              <c:strCache>
                <c:ptCount val="1"/>
                <c:pt idx="0">
                  <c:v>Budget Net</c:v>
                </c:pt>
              </c:strCache>
            </c:strRef>
          </c:tx>
          <c:spPr>
            <a:solidFill>
              <a:srgbClr val="D09493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F9F9F9"/>
                      </a:solidFill>
                    </a:ln>
                  </c:spPr>
                </c15:leaderLines>
              </c:ext>
            </c:extLst>
          </c:dLbls>
          <c:cat>
            <c:strRef>
              <c:f>Monthly!$A$5:$A$8</c:f>
              <c:strCache>
                <c:ptCount val="4"/>
                <c:pt idx="0">
                  <c:v>January 2026</c:v>
                </c:pt>
                <c:pt idx="1">
                  <c:v>February 2026</c:v>
                </c:pt>
                <c:pt idx="2">
                  <c:v>March 2026</c:v>
                </c:pt>
                <c:pt idx="3">
                  <c:v>April 2026</c:v>
                </c:pt>
              </c:strCache>
            </c:strRef>
          </c:cat>
          <c:val>
            <c:numRef>
              <c:f>Monthly!$E$5:$E$8</c:f>
              <c:numCache>
                <c:formatCode>\$#,##0;"($"#,##0\);\-</c:formatCode>
                <c:ptCount val="4"/>
                <c:pt idx="0">
                  <c:v>107789.52</c:v>
                </c:pt>
                <c:pt idx="1">
                  <c:v>-169800.99</c:v>
                </c:pt>
                <c:pt idx="2">
                  <c:v>-157426.37</c:v>
                </c:pt>
                <c:pt idx="3">
                  <c:v>-97601.390000000101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13-994B-A80D-C4ED60E2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981373"/>
        <c:axId val="55294767"/>
      </c:barChart>
      <c:catAx>
        <c:axId val="639813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5294767"/>
        <c:crosses val="autoZero"/>
        <c:auto val="1"/>
        <c:lblAlgn val="ctr"/>
        <c:lblOffset val="100"/>
        <c:noMultiLvlLbl val="0"/>
      </c:catAx>
      <c:valAx>
        <c:axId val="552947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98137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24</xdr:row>
      <xdr:rowOff>0</xdr:rowOff>
    </xdr:from>
    <xdr:to>
      <xdr:col>15</xdr:col>
      <xdr:colOff>166320</xdr:colOff>
      <xdr:row>40</xdr:row>
      <xdr:rowOff>134640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136080</xdr:colOff>
      <xdr:row>28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29</xdr:row>
      <xdr:rowOff>0</xdr:rowOff>
    </xdr:from>
    <xdr:to>
      <xdr:col>5</xdr:col>
      <xdr:colOff>136080</xdr:colOff>
      <xdr:row>46</xdr:row>
      <xdr:rowOff>1080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zoomScaleNormal="100" workbookViewId="0">
      <selection sqref="A1:B1"/>
    </sheetView>
  </sheetViews>
  <sheetFormatPr baseColWidth="10" defaultColWidth="8.6640625" defaultRowHeight="15" x14ac:dyDescent="0.2"/>
  <cols>
    <col min="1" max="1" width="25" customWidth="1"/>
    <col min="2" max="2" width="95" customWidth="1"/>
  </cols>
  <sheetData>
    <row r="1" spans="1:2" ht="37.5" customHeight="1" x14ac:dyDescent="0.2">
      <c r="A1" s="14" t="s">
        <v>0</v>
      </c>
      <c r="B1" s="14"/>
    </row>
    <row r="2" spans="1:2" ht="24" customHeight="1" x14ac:dyDescent="0.2">
      <c r="A2" s="13" t="s">
        <v>1</v>
      </c>
      <c r="B2" s="13"/>
    </row>
    <row r="3" spans="1:2" ht="12" customHeight="1" x14ac:dyDescent="0.2"/>
    <row r="4" spans="1:2" ht="21.75" customHeight="1" x14ac:dyDescent="0.2">
      <c r="A4" s="12" t="s">
        <v>2</v>
      </c>
      <c r="B4" s="12"/>
    </row>
    <row r="5" spans="1:2" ht="21.75" customHeight="1" x14ac:dyDescent="0.2">
      <c r="A5" s="15" t="s">
        <v>3</v>
      </c>
      <c r="B5" s="15" t="s">
        <v>4</v>
      </c>
    </row>
    <row r="6" spans="1:2" ht="31.5" customHeight="1" x14ac:dyDescent="0.2">
      <c r="A6" s="16" t="s">
        <v>5</v>
      </c>
      <c r="B6" s="17" t="s">
        <v>6</v>
      </c>
    </row>
    <row r="7" spans="1:2" ht="31.5" customHeight="1" x14ac:dyDescent="0.2">
      <c r="A7" s="18" t="s">
        <v>7</v>
      </c>
      <c r="B7" s="19" t="s">
        <v>8</v>
      </c>
    </row>
    <row r="8" spans="1:2" ht="31.5" customHeight="1" x14ac:dyDescent="0.2">
      <c r="A8" s="16" t="s">
        <v>9</v>
      </c>
      <c r="B8" s="17" t="s">
        <v>10</v>
      </c>
    </row>
    <row r="9" spans="1:2" ht="31.5" customHeight="1" x14ac:dyDescent="0.2">
      <c r="A9" s="18" t="s">
        <v>11</v>
      </c>
      <c r="B9" s="19" t="s">
        <v>12</v>
      </c>
    </row>
    <row r="10" spans="1:2" ht="31.5" customHeight="1" x14ac:dyDescent="0.2">
      <c r="A10" s="16" t="s">
        <v>13</v>
      </c>
      <c r="B10" s="17" t="s">
        <v>14</v>
      </c>
    </row>
    <row r="11" spans="1:2" ht="31.5" customHeight="1" x14ac:dyDescent="0.2">
      <c r="A11" s="18" t="s">
        <v>15</v>
      </c>
      <c r="B11" s="19" t="s">
        <v>16</v>
      </c>
    </row>
    <row r="12" spans="1:2" ht="31.5" customHeight="1" x14ac:dyDescent="0.2">
      <c r="A12" s="16" t="s">
        <v>17</v>
      </c>
      <c r="B12" s="17" t="s">
        <v>18</v>
      </c>
    </row>
    <row r="15" spans="1:2" ht="17" x14ac:dyDescent="0.2">
      <c r="A15" s="11" t="s">
        <v>19</v>
      </c>
      <c r="B15" s="11"/>
    </row>
    <row r="16" spans="1:2" ht="19.5" customHeight="1" x14ac:dyDescent="0.2">
      <c r="A16" s="10" t="s">
        <v>20</v>
      </c>
      <c r="B16" s="10"/>
    </row>
    <row r="17" spans="1:2" ht="19.5" customHeight="1" x14ac:dyDescent="0.2">
      <c r="A17" s="10" t="s">
        <v>21</v>
      </c>
      <c r="B17" s="10"/>
    </row>
    <row r="18" spans="1:2" ht="19.5" customHeight="1" x14ac:dyDescent="0.2">
      <c r="A18" s="10" t="s">
        <v>22</v>
      </c>
      <c r="B18" s="10"/>
    </row>
    <row r="19" spans="1:2" ht="19.5" customHeight="1" x14ac:dyDescent="0.2">
      <c r="A19" s="10" t="s">
        <v>23</v>
      </c>
      <c r="B19" s="10"/>
    </row>
  </sheetData>
  <mergeCells count="8">
    <mergeCell ref="A17:B17"/>
    <mergeCell ref="A18:B18"/>
    <mergeCell ref="A19:B19"/>
    <mergeCell ref="A1:B1"/>
    <mergeCell ref="A2:B2"/>
    <mergeCell ref="A4:B4"/>
    <mergeCell ref="A15:B15"/>
    <mergeCell ref="A16:B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53"/>
  <sheetViews>
    <sheetView showGridLines="0" zoomScaleNormal="100" workbookViewId="0">
      <selection sqref="A1:P1"/>
    </sheetView>
  </sheetViews>
  <sheetFormatPr baseColWidth="10" defaultColWidth="8.6640625" defaultRowHeight="15" x14ac:dyDescent="0.2"/>
  <cols>
    <col min="1" max="17" width="11" customWidth="1"/>
  </cols>
  <sheetData>
    <row r="1" spans="1:16" ht="37.5" customHeight="1" x14ac:dyDescent="0.2">
      <c r="A1" s="14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1.75" customHeight="1" x14ac:dyDescent="0.2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6" customHeight="1" x14ac:dyDescent="0.2"/>
    <row r="4" spans="1:16" ht="21.75" customHeight="1" x14ac:dyDescent="0.2">
      <c r="A4" s="8" t="s">
        <v>26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pans="1:16" ht="6" customHeight="1" x14ac:dyDescent="0.2"/>
    <row r="6" spans="1:16" ht="21.75" customHeight="1" x14ac:dyDescent="0.2">
      <c r="A6" s="7" t="s">
        <v>27</v>
      </c>
      <c r="B6" s="7"/>
      <c r="C6" s="7"/>
      <c r="D6" s="7"/>
      <c r="E6" s="6" t="s">
        <v>28</v>
      </c>
      <c r="F6" s="6"/>
      <c r="G6" s="6"/>
      <c r="H6" s="6"/>
      <c r="I6" s="5" t="s">
        <v>29</v>
      </c>
      <c r="J6" s="5"/>
      <c r="K6" s="5"/>
      <c r="L6" s="5"/>
      <c r="M6" s="4" t="s">
        <v>30</v>
      </c>
      <c r="N6" s="4"/>
      <c r="O6" s="4"/>
      <c r="P6" s="4"/>
    </row>
    <row r="7" spans="1:16" ht="21.75" customHeight="1" x14ac:dyDescent="0.2">
      <c r="A7" s="3">
        <f>Cash!B8</f>
        <v>988292.85000000009</v>
      </c>
      <c r="B7" s="3"/>
      <c r="C7" s="3"/>
      <c r="D7" s="3"/>
      <c r="E7" s="2">
        <f>'Revenue &amp; Expenses'!B5</f>
        <v>1831396.99</v>
      </c>
      <c r="F7" s="2"/>
      <c r="G7" s="2"/>
      <c r="H7" s="2"/>
      <c r="I7" s="1">
        <f>'Revenue &amp; Expenses'!B6</f>
        <v>1891274.8</v>
      </c>
      <c r="J7" s="1"/>
      <c r="K7" s="1"/>
      <c r="L7" s="1"/>
      <c r="M7" s="79">
        <f>'Revenue &amp; Expenses'!B7</f>
        <v>-59877.810000000056</v>
      </c>
      <c r="N7" s="79"/>
      <c r="O7" s="79"/>
      <c r="P7" s="79"/>
    </row>
    <row r="8" spans="1:16" ht="21.75" customHeight="1" x14ac:dyDescent="0.2">
      <c r="A8" s="3"/>
      <c r="B8" s="3"/>
      <c r="C8" s="3"/>
      <c r="D8" s="3"/>
      <c r="E8" s="2"/>
      <c r="F8" s="2"/>
      <c r="G8" s="2"/>
      <c r="H8" s="2"/>
      <c r="I8" s="1"/>
      <c r="J8" s="1"/>
      <c r="K8" s="1"/>
      <c r="L8" s="1"/>
      <c r="M8" s="79"/>
      <c r="N8" s="79"/>
      <c r="O8" s="79"/>
      <c r="P8" s="79"/>
    </row>
    <row r="9" spans="1:16" ht="21.75" customHeight="1" x14ac:dyDescent="0.2">
      <c r="A9" s="80" t="s">
        <v>31</v>
      </c>
      <c r="B9" s="80"/>
      <c r="C9" s="80"/>
      <c r="D9" s="80"/>
      <c r="E9" s="81" t="s">
        <v>32</v>
      </c>
      <c r="F9" s="81"/>
      <c r="G9" s="81"/>
      <c r="H9" s="81"/>
      <c r="I9" s="82" t="s">
        <v>32</v>
      </c>
      <c r="J9" s="82"/>
      <c r="K9" s="82"/>
      <c r="L9" s="82"/>
      <c r="M9" s="83" t="s">
        <v>33</v>
      </c>
      <c r="N9" s="83"/>
      <c r="O9" s="83"/>
      <c r="P9" s="83"/>
    </row>
    <row r="10" spans="1:16" ht="6" customHeight="1" x14ac:dyDescent="0.2"/>
    <row r="11" spans="1:16" ht="21.75" customHeight="1" x14ac:dyDescent="0.2">
      <c r="A11" s="84" t="s">
        <v>34</v>
      </c>
      <c r="B11" s="84"/>
      <c r="C11" s="84"/>
      <c r="D11" s="84"/>
      <c r="E11" s="85" t="s">
        <v>35</v>
      </c>
      <c r="F11" s="85"/>
      <c r="G11" s="85"/>
      <c r="H11" s="85"/>
      <c r="I11" s="86" t="s">
        <v>36</v>
      </c>
      <c r="J11" s="86"/>
      <c r="K11" s="86"/>
      <c r="L11" s="86"/>
      <c r="M11" s="87" t="s">
        <v>37</v>
      </c>
      <c r="N11" s="87"/>
      <c r="O11" s="87"/>
      <c r="P11" s="87"/>
    </row>
    <row r="12" spans="1:16" ht="21.75" customHeight="1" x14ac:dyDescent="0.2">
      <c r="A12" s="88">
        <f>Cash!B12</f>
        <v>5.1198894535186916</v>
      </c>
      <c r="B12" s="88"/>
      <c r="C12" s="88"/>
      <c r="D12" s="88"/>
      <c r="E12" s="89">
        <f>'Project Profitability'!H2</f>
        <v>0.30136986301369861</v>
      </c>
      <c r="F12" s="89"/>
      <c r="G12" s="89"/>
      <c r="H12" s="89"/>
      <c r="I12" s="90">
        <f>'Revenue &amp; Expenses'!B12</f>
        <v>712242.64999999991</v>
      </c>
      <c r="J12" s="90"/>
      <c r="K12" s="90"/>
      <c r="L12" s="90"/>
      <c r="M12" s="91">
        <f>'Revenue &amp; Expenses'!B13</f>
        <v>772120.46</v>
      </c>
      <c r="N12" s="91"/>
      <c r="O12" s="91"/>
      <c r="P12" s="91"/>
    </row>
    <row r="13" spans="1:16" ht="21.75" customHeight="1" x14ac:dyDescent="0.2">
      <c r="A13" s="88"/>
      <c r="B13" s="88"/>
      <c r="C13" s="88"/>
      <c r="D13" s="88"/>
      <c r="E13" s="89"/>
      <c r="F13" s="89"/>
      <c r="G13" s="89"/>
      <c r="H13" s="89"/>
      <c r="I13" s="90"/>
      <c r="J13" s="90"/>
      <c r="K13" s="90"/>
      <c r="L13" s="90"/>
      <c r="M13" s="91"/>
      <c r="N13" s="91"/>
      <c r="O13" s="91"/>
      <c r="P13" s="91"/>
    </row>
    <row r="14" spans="1:16" ht="21.75" customHeight="1" x14ac:dyDescent="0.2">
      <c r="A14" s="92" t="s">
        <v>38</v>
      </c>
      <c r="B14" s="92"/>
      <c r="C14" s="92"/>
      <c r="D14" s="92"/>
      <c r="E14" s="93" t="s">
        <v>39</v>
      </c>
      <c r="F14" s="93"/>
      <c r="G14" s="93"/>
      <c r="H14" s="93"/>
      <c r="I14" s="94" t="s">
        <v>40</v>
      </c>
      <c r="J14" s="94"/>
      <c r="K14" s="94"/>
      <c r="L14" s="94"/>
      <c r="M14" s="95" t="s">
        <v>41</v>
      </c>
      <c r="N14" s="95"/>
      <c r="O14" s="95"/>
      <c r="P14" s="95"/>
    </row>
    <row r="15" spans="1:16" ht="12" customHeight="1" x14ac:dyDescent="0.2"/>
    <row r="16" spans="1:16" ht="21.75" customHeight="1" x14ac:dyDescent="0.2">
      <c r="A16" s="8" t="s">
        <v>42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8" spans="1:16" ht="21.75" customHeight="1" x14ac:dyDescent="0.2">
      <c r="A18" s="6" t="s">
        <v>43</v>
      </c>
      <c r="B18" s="6"/>
      <c r="C18" s="6"/>
      <c r="D18" s="6" t="s">
        <v>44</v>
      </c>
      <c r="E18" s="6"/>
      <c r="F18" s="6"/>
      <c r="G18" s="6" t="s">
        <v>45</v>
      </c>
      <c r="H18" s="6"/>
      <c r="I18" s="6"/>
      <c r="J18" s="6" t="s">
        <v>46</v>
      </c>
      <c r="K18" s="6"/>
      <c r="L18" s="6"/>
      <c r="M18" s="6" t="s">
        <v>47</v>
      </c>
      <c r="N18" s="6"/>
      <c r="O18" s="6"/>
      <c r="P18" s="20" t="s">
        <v>48</v>
      </c>
    </row>
    <row r="19" spans="1:16" ht="21.75" customHeight="1" x14ac:dyDescent="0.2">
      <c r="A19" s="96" t="s">
        <v>49</v>
      </c>
      <c r="B19" s="96"/>
      <c r="C19" s="96"/>
      <c r="D19" s="97">
        <f>'Budget vs Actual'!B5</f>
        <v>991426.31</v>
      </c>
      <c r="E19" s="97"/>
      <c r="F19" s="97"/>
      <c r="G19" s="98">
        <f>'Revenue &amp; Expenses'!B5</f>
        <v>1831396.99</v>
      </c>
      <c r="H19" s="98"/>
      <c r="I19" s="98"/>
      <c r="J19" s="97">
        <f>G19-D19</f>
        <v>839970.67999999993</v>
      </c>
      <c r="K19" s="97"/>
      <c r="L19" s="97"/>
      <c r="M19" s="99">
        <f>IFERROR((G19-D19)/ABS(D19),0)</f>
        <v>0.84723460687663199</v>
      </c>
      <c r="N19" s="99"/>
      <c r="O19" s="99"/>
      <c r="P19" s="21" t="str">
        <f>IF(J19&gt;=0,"Favorable","Unfavorable")</f>
        <v>Favorable</v>
      </c>
    </row>
    <row r="20" spans="1:16" ht="21.75" customHeight="1" x14ac:dyDescent="0.2">
      <c r="A20" s="100" t="s">
        <v>50</v>
      </c>
      <c r="B20" s="100"/>
      <c r="C20" s="100"/>
      <c r="D20" s="101">
        <f>'Budget vs Actual'!B6</f>
        <v>1248465.54</v>
      </c>
      <c r="E20" s="101"/>
      <c r="F20" s="101"/>
      <c r="G20" s="102">
        <f>'Revenue &amp; Expenses'!B6</f>
        <v>1891274.8</v>
      </c>
      <c r="H20" s="102"/>
      <c r="I20" s="102"/>
      <c r="J20" s="101">
        <f>G20-D20</f>
        <v>642809.26</v>
      </c>
      <c r="K20" s="101"/>
      <c r="L20" s="101"/>
      <c r="M20" s="103">
        <f>IFERROR((G20-D20)/ABS(D20),0)</f>
        <v>0.51487945754594078</v>
      </c>
      <c r="N20" s="103"/>
      <c r="O20" s="103"/>
      <c r="P20" s="22" t="str">
        <f>IF(J20&lt;=0,"Favorable","Unfavorable")</f>
        <v>Unfavorable</v>
      </c>
    </row>
    <row r="21" spans="1:16" ht="21.75" customHeight="1" x14ac:dyDescent="0.2">
      <c r="A21" s="96" t="s">
        <v>51</v>
      </c>
      <c r="B21" s="96"/>
      <c r="C21" s="96"/>
      <c r="D21" s="97">
        <f>'Budget vs Actual'!B7</f>
        <v>-257039.22999999998</v>
      </c>
      <c r="E21" s="97"/>
      <c r="F21" s="97"/>
      <c r="G21" s="98">
        <f>'Revenue &amp; Expenses'!B7</f>
        <v>-59877.810000000056</v>
      </c>
      <c r="H21" s="98"/>
      <c r="I21" s="98"/>
      <c r="J21" s="97">
        <f>G21-D21</f>
        <v>197161.41999999993</v>
      </c>
      <c r="K21" s="97"/>
      <c r="L21" s="97"/>
      <c r="M21" s="99">
        <f>IFERROR((G21-D21)/ABS(D21),0)</f>
        <v>0.76704797162674332</v>
      </c>
      <c r="N21" s="99"/>
      <c r="O21" s="99"/>
      <c r="P21" s="21" t="str">
        <f>IF(J21&gt;=0,"Favorable","Unfavorable")</f>
        <v>Favorable</v>
      </c>
    </row>
    <row r="22" spans="1:16" ht="7.5" customHeight="1" x14ac:dyDescent="0.2"/>
    <row r="23" spans="1:16" ht="21.75" customHeight="1" x14ac:dyDescent="0.2">
      <c r="A23" s="8" t="s">
        <v>52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</row>
    <row r="25" spans="1:16" ht="19.5" customHeight="1" x14ac:dyDescent="0.2">
      <c r="A25" s="20" t="s">
        <v>53</v>
      </c>
      <c r="B25" s="20" t="s">
        <v>49</v>
      </c>
      <c r="C25" s="20" t="s">
        <v>50</v>
      </c>
      <c r="D25" s="20" t="s">
        <v>51</v>
      </c>
    </row>
    <row r="26" spans="1:16" x14ac:dyDescent="0.2">
      <c r="A26" s="23" t="s">
        <v>54</v>
      </c>
      <c r="B26" s="24">
        <f>Monthly!B5</f>
        <v>493453.89</v>
      </c>
      <c r="C26" s="24">
        <f>Monthly!C5</f>
        <v>438952.61</v>
      </c>
      <c r="D26" s="24">
        <f>Monthly!D5</f>
        <v>54501.280000000028</v>
      </c>
    </row>
    <row r="27" spans="1:16" x14ac:dyDescent="0.2">
      <c r="A27" s="25" t="s">
        <v>55</v>
      </c>
      <c r="B27" s="26">
        <f>Monthly!B6</f>
        <v>411401.94</v>
      </c>
      <c r="C27" s="26">
        <f>Monthly!C6</f>
        <v>456590.7</v>
      </c>
      <c r="D27" s="26">
        <f>Monthly!D6</f>
        <v>-45188.760000000009</v>
      </c>
    </row>
    <row r="28" spans="1:16" x14ac:dyDescent="0.2">
      <c r="A28" s="23" t="s">
        <v>56</v>
      </c>
      <c r="B28" s="24">
        <f>Monthly!B7</f>
        <v>484329.85</v>
      </c>
      <c r="C28" s="24">
        <f>Monthly!C7</f>
        <v>527892.92000000004</v>
      </c>
      <c r="D28" s="24">
        <f>Monthly!D7</f>
        <v>-43563.070000000065</v>
      </c>
    </row>
    <row r="29" spans="1:16" x14ac:dyDescent="0.2">
      <c r="A29" s="25" t="s">
        <v>57</v>
      </c>
      <c r="B29" s="26">
        <f>Monthly!B8</f>
        <v>442211.31</v>
      </c>
      <c r="C29" s="26">
        <f>Monthly!C8</f>
        <v>467977.99</v>
      </c>
      <c r="D29" s="26">
        <f>Monthly!D8</f>
        <v>-25766.679999999993</v>
      </c>
    </row>
    <row r="42" spans="1:16" ht="7.5" customHeight="1" x14ac:dyDescent="0.2"/>
    <row r="43" spans="1:16" ht="21.75" customHeight="1" x14ac:dyDescent="0.2">
      <c r="A43" s="8" t="s">
        <v>58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5" spans="1:16" ht="18" customHeight="1" x14ac:dyDescent="0.2">
      <c r="A45" s="86" t="s">
        <v>59</v>
      </c>
      <c r="B45" s="86"/>
      <c r="C45" s="86"/>
      <c r="D45" s="86"/>
      <c r="E45" s="86"/>
      <c r="F45" s="86"/>
      <c r="G45" s="86"/>
      <c r="I45" s="4" t="s">
        <v>60</v>
      </c>
      <c r="J45" s="4"/>
      <c r="K45" s="4"/>
      <c r="L45" s="4"/>
      <c r="M45" s="4"/>
      <c r="N45" s="4"/>
      <c r="O45" s="4"/>
    </row>
    <row r="46" spans="1:16" ht="15.75" customHeight="1" x14ac:dyDescent="0.2">
      <c r="A46" s="104" t="s">
        <v>61</v>
      </c>
      <c r="B46" s="104"/>
      <c r="C46" s="104"/>
      <c r="D46" s="104"/>
      <c r="E46" s="104"/>
      <c r="F46" s="104" t="s">
        <v>62</v>
      </c>
      <c r="G46" s="104"/>
      <c r="I46" s="104" t="s">
        <v>61</v>
      </c>
      <c r="J46" s="104"/>
      <c r="K46" s="104"/>
      <c r="L46" s="104"/>
      <c r="M46" s="104"/>
      <c r="N46" s="104" t="s">
        <v>63</v>
      </c>
      <c r="O46" s="104"/>
    </row>
    <row r="47" spans="1:16" ht="18" customHeight="1" x14ac:dyDescent="0.2">
      <c r="A47" s="105" t="s">
        <v>64</v>
      </c>
      <c r="B47" s="105"/>
      <c r="C47" s="105"/>
      <c r="D47" s="105"/>
      <c r="E47" s="105"/>
      <c r="F47" s="106">
        <v>50000</v>
      </c>
      <c r="G47" s="106"/>
      <c r="I47" s="105" t="s">
        <v>65</v>
      </c>
      <c r="J47" s="105"/>
      <c r="K47" s="105"/>
      <c r="L47" s="105"/>
      <c r="M47" s="105"/>
      <c r="N47" s="107">
        <v>-233950.99</v>
      </c>
      <c r="O47" s="107"/>
    </row>
    <row r="48" spans="1:16" ht="18" customHeight="1" x14ac:dyDescent="0.2">
      <c r="A48" s="108" t="s">
        <v>66</v>
      </c>
      <c r="B48" s="108"/>
      <c r="C48" s="108"/>
      <c r="D48" s="108"/>
      <c r="E48" s="108"/>
      <c r="F48" s="109">
        <v>49632.6</v>
      </c>
      <c r="G48" s="109"/>
      <c r="I48" s="108" t="s">
        <v>67</v>
      </c>
      <c r="J48" s="108"/>
      <c r="K48" s="108"/>
      <c r="L48" s="108"/>
      <c r="M48" s="108"/>
      <c r="N48" s="110">
        <v>-52509.98</v>
      </c>
      <c r="O48" s="110"/>
    </row>
    <row r="49" spans="1:16" ht="18" customHeight="1" x14ac:dyDescent="0.2">
      <c r="A49" s="105" t="s">
        <v>68</v>
      </c>
      <c r="B49" s="105"/>
      <c r="C49" s="105"/>
      <c r="D49" s="105"/>
      <c r="E49" s="105"/>
      <c r="F49" s="106">
        <v>42826.89</v>
      </c>
      <c r="G49" s="106"/>
      <c r="I49" s="105" t="s">
        <v>69</v>
      </c>
      <c r="J49" s="105"/>
      <c r="K49" s="105"/>
      <c r="L49" s="105"/>
      <c r="M49" s="105"/>
      <c r="N49" s="107">
        <v>-47204.93</v>
      </c>
      <c r="O49" s="107"/>
    </row>
    <row r="50" spans="1:16" ht="18" customHeight="1" x14ac:dyDescent="0.2">
      <c r="A50" s="108" t="s">
        <v>70</v>
      </c>
      <c r="B50" s="108"/>
      <c r="C50" s="108"/>
      <c r="D50" s="108"/>
      <c r="E50" s="108"/>
      <c r="F50" s="109">
        <v>41620.269999999997</v>
      </c>
      <c r="G50" s="109"/>
      <c r="I50" s="108" t="s">
        <v>71</v>
      </c>
      <c r="J50" s="108"/>
      <c r="K50" s="108"/>
      <c r="L50" s="108"/>
      <c r="M50" s="108"/>
      <c r="N50" s="110">
        <v>-31572.300000000101</v>
      </c>
      <c r="O50" s="110"/>
    </row>
    <row r="51" spans="1:16" ht="18" customHeight="1" x14ac:dyDescent="0.2">
      <c r="A51" s="105" t="s">
        <v>72</v>
      </c>
      <c r="B51" s="105"/>
      <c r="C51" s="105"/>
      <c r="D51" s="105"/>
      <c r="E51" s="105"/>
      <c r="F51" s="106">
        <v>30059.86</v>
      </c>
      <c r="G51" s="106"/>
      <c r="I51" s="105" t="s">
        <v>73</v>
      </c>
      <c r="J51" s="105"/>
      <c r="K51" s="105"/>
      <c r="L51" s="105"/>
      <c r="M51" s="105"/>
      <c r="N51" s="107">
        <v>-10735.14</v>
      </c>
      <c r="O51" s="107"/>
    </row>
    <row r="52" spans="1:16" ht="6" customHeight="1" x14ac:dyDescent="0.2"/>
    <row r="53" spans="1:16" ht="24" customHeight="1" x14ac:dyDescent="0.2">
      <c r="A53" s="111" t="s">
        <v>74</v>
      </c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</row>
  </sheetData>
  <mergeCells count="77">
    <mergeCell ref="A51:E51"/>
    <mergeCell ref="F51:G51"/>
    <mergeCell ref="I51:M51"/>
    <mergeCell ref="N51:O51"/>
    <mergeCell ref="A53:P53"/>
    <mergeCell ref="A49:E49"/>
    <mergeCell ref="F49:G49"/>
    <mergeCell ref="I49:M49"/>
    <mergeCell ref="N49:O49"/>
    <mergeCell ref="A50:E50"/>
    <mergeCell ref="F50:G50"/>
    <mergeCell ref="I50:M50"/>
    <mergeCell ref="N50:O50"/>
    <mergeCell ref="A47:E47"/>
    <mergeCell ref="F47:G47"/>
    <mergeCell ref="I47:M47"/>
    <mergeCell ref="N47:O47"/>
    <mergeCell ref="A48:E48"/>
    <mergeCell ref="F48:G48"/>
    <mergeCell ref="I48:M48"/>
    <mergeCell ref="N48:O48"/>
    <mergeCell ref="A23:P23"/>
    <mergeCell ref="A43:P43"/>
    <mergeCell ref="A45:G45"/>
    <mergeCell ref="I45:O45"/>
    <mergeCell ref="A46:E46"/>
    <mergeCell ref="F46:G46"/>
    <mergeCell ref="I46:M46"/>
    <mergeCell ref="N46:O46"/>
    <mergeCell ref="A21:C21"/>
    <mergeCell ref="D21:F21"/>
    <mergeCell ref="G21:I21"/>
    <mergeCell ref="J21:L21"/>
    <mergeCell ref="M21:O21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A18:C18"/>
    <mergeCell ref="D18:F18"/>
    <mergeCell ref="G18:I18"/>
    <mergeCell ref="J18:L18"/>
    <mergeCell ref="M18:O18"/>
    <mergeCell ref="A14:D14"/>
    <mergeCell ref="E14:H14"/>
    <mergeCell ref="I14:L14"/>
    <mergeCell ref="M14:P14"/>
    <mergeCell ref="A16:P16"/>
    <mergeCell ref="A11:D11"/>
    <mergeCell ref="E11:H11"/>
    <mergeCell ref="I11:L11"/>
    <mergeCell ref="M11:P11"/>
    <mergeCell ref="A12:D13"/>
    <mergeCell ref="E12:H13"/>
    <mergeCell ref="I12:L13"/>
    <mergeCell ref="M12:P13"/>
    <mergeCell ref="A7:D8"/>
    <mergeCell ref="E7:H8"/>
    <mergeCell ref="I7:L8"/>
    <mergeCell ref="M7:P8"/>
    <mergeCell ref="A9:D9"/>
    <mergeCell ref="E9:H9"/>
    <mergeCell ref="I9:L9"/>
    <mergeCell ref="M9:P9"/>
    <mergeCell ref="A1:P1"/>
    <mergeCell ref="A2:P2"/>
    <mergeCell ref="A4:P4"/>
    <mergeCell ref="A6:D6"/>
    <mergeCell ref="E6:H6"/>
    <mergeCell ref="I6:L6"/>
    <mergeCell ref="M6:P6"/>
  </mergeCells>
  <conditionalFormatting sqref="P19:P21">
    <cfRule type="cellIs" dxfId="7" priority="2" operator="equal">
      <formula>"Favorable"</formula>
    </cfRule>
    <cfRule type="cellIs" dxfId="6" priority="3" operator="equal">
      <formula>"Unfavorable"</formula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showGridLines="0" zoomScaleNormal="100" workbookViewId="0">
      <selection sqref="A1:D1"/>
    </sheetView>
  </sheetViews>
  <sheetFormatPr baseColWidth="10" defaultColWidth="8.6640625" defaultRowHeight="15" x14ac:dyDescent="0.2"/>
  <cols>
    <col min="1" max="1" width="38" customWidth="1"/>
    <col min="2" max="4" width="22" customWidth="1"/>
  </cols>
  <sheetData>
    <row r="1" spans="1:4" ht="31.5" customHeight="1" x14ac:dyDescent="0.2">
      <c r="A1" s="112" t="s">
        <v>75</v>
      </c>
      <c r="B1" s="112"/>
      <c r="C1" s="112"/>
      <c r="D1" s="112"/>
    </row>
    <row r="2" spans="1:4" ht="7.5" customHeight="1" x14ac:dyDescent="0.2"/>
    <row r="3" spans="1:4" ht="21.75" customHeight="1" x14ac:dyDescent="0.2">
      <c r="A3" s="8" t="s">
        <v>76</v>
      </c>
      <c r="B3" s="8"/>
      <c r="C3" s="8"/>
      <c r="D3" s="8"/>
    </row>
    <row r="5" spans="1:4" ht="21.75" customHeight="1" x14ac:dyDescent="0.2">
      <c r="A5" s="29" t="s">
        <v>77</v>
      </c>
      <c r="B5" s="30">
        <v>64099.42</v>
      </c>
      <c r="C5" s="31"/>
      <c r="D5" s="31"/>
    </row>
    <row r="6" spans="1:4" ht="21.75" customHeight="1" x14ac:dyDescent="0.2">
      <c r="A6" s="32" t="s">
        <v>78</v>
      </c>
      <c r="B6" s="33">
        <v>924193.43</v>
      </c>
    </row>
    <row r="7" spans="1:4" ht="21.75" customHeight="1" x14ac:dyDescent="0.2">
      <c r="A7" s="34" t="s">
        <v>79</v>
      </c>
      <c r="B7" s="35">
        <f>SUM(B5:B6)</f>
        <v>988292.85000000009</v>
      </c>
    </row>
    <row r="8" spans="1:4" x14ac:dyDescent="0.2">
      <c r="A8" s="36" t="s">
        <v>80</v>
      </c>
      <c r="B8" s="37">
        <f>B7</f>
        <v>988292.85000000009</v>
      </c>
    </row>
    <row r="9" spans="1:4" ht="7.5" customHeight="1" x14ac:dyDescent="0.2"/>
    <row r="10" spans="1:4" ht="21.75" customHeight="1" x14ac:dyDescent="0.2">
      <c r="A10" s="8" t="s">
        <v>81</v>
      </c>
      <c r="B10" s="8"/>
      <c r="C10" s="8"/>
      <c r="D10" s="8"/>
    </row>
    <row r="11" spans="1:4" ht="21.75" customHeight="1" x14ac:dyDescent="0.2">
      <c r="A11" s="29" t="s">
        <v>82</v>
      </c>
      <c r="B11" s="30">
        <f>'Revenue &amp; Expenses'!B13</f>
        <v>772120.46</v>
      </c>
      <c r="C11" s="31"/>
      <c r="D11" s="31"/>
    </row>
    <row r="12" spans="1:4" ht="21.75" customHeight="1" x14ac:dyDescent="0.2">
      <c r="A12" s="38" t="s">
        <v>83</v>
      </c>
      <c r="B12" s="39">
        <f>B7/(B11/4)</f>
        <v>5.1198894535186916</v>
      </c>
    </row>
    <row r="13" spans="1:4" ht="21.75" customHeight="1" x14ac:dyDescent="0.2">
      <c r="A13" s="29" t="s">
        <v>84</v>
      </c>
      <c r="B13" s="30">
        <f>B11/4</f>
        <v>193030.11499999999</v>
      </c>
      <c r="C13" s="31"/>
      <c r="D13" s="31"/>
    </row>
    <row r="14" spans="1:4" ht="7.5" customHeight="1" x14ac:dyDescent="0.2"/>
    <row r="15" spans="1:4" ht="21.75" customHeight="1" x14ac:dyDescent="0.2">
      <c r="A15" s="8" t="s">
        <v>85</v>
      </c>
      <c r="B15" s="8"/>
      <c r="C15" s="8"/>
      <c r="D15" s="8"/>
    </row>
    <row r="16" spans="1:4" ht="21.75" customHeight="1" x14ac:dyDescent="0.2">
      <c r="A16" s="113" t="s">
        <v>86</v>
      </c>
      <c r="B16" s="113"/>
      <c r="C16" s="113"/>
      <c r="D16" s="113"/>
    </row>
  </sheetData>
  <mergeCells count="5">
    <mergeCell ref="A1:D1"/>
    <mergeCell ref="A3:D3"/>
    <mergeCell ref="A10:D10"/>
    <mergeCell ref="A15:D15"/>
    <mergeCell ref="A16:D1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8"/>
  <sheetViews>
    <sheetView showGridLines="0" zoomScaleNormal="100" workbookViewId="0">
      <selection sqref="A1:E1"/>
    </sheetView>
  </sheetViews>
  <sheetFormatPr baseColWidth="10" defaultColWidth="8.6640625" defaultRowHeight="15" x14ac:dyDescent="0.2"/>
  <cols>
    <col min="1" max="1" width="38" customWidth="1"/>
    <col min="2" max="5" width="18" customWidth="1"/>
  </cols>
  <sheetData>
    <row r="1" spans="1:5" ht="31.5" customHeight="1" x14ac:dyDescent="0.2">
      <c r="A1" s="112" t="s">
        <v>87</v>
      </c>
      <c r="B1" s="112"/>
      <c r="C1" s="112"/>
      <c r="D1" s="112"/>
      <c r="E1" s="112"/>
    </row>
    <row r="2" spans="1:5" ht="7.5" customHeight="1" x14ac:dyDescent="0.2"/>
    <row r="3" spans="1:5" ht="21.75" customHeight="1" x14ac:dyDescent="0.2">
      <c r="A3" s="8" t="s">
        <v>88</v>
      </c>
      <c r="B3" s="8"/>
      <c r="C3" s="8"/>
      <c r="D3" s="8"/>
      <c r="E3" s="8"/>
    </row>
    <row r="4" spans="1:5" ht="19.5" customHeight="1" x14ac:dyDescent="0.2">
      <c r="A4" s="40" t="s">
        <v>43</v>
      </c>
      <c r="B4" s="40" t="s">
        <v>89</v>
      </c>
    </row>
    <row r="5" spans="1:5" ht="21.75" customHeight="1" x14ac:dyDescent="0.2">
      <c r="A5" s="29" t="s">
        <v>90</v>
      </c>
      <c r="B5" s="30">
        <v>1831396.99</v>
      </c>
      <c r="C5" s="31"/>
      <c r="D5" s="31"/>
      <c r="E5" s="31"/>
    </row>
    <row r="6" spans="1:5" ht="21.75" customHeight="1" x14ac:dyDescent="0.2">
      <c r="A6" s="32" t="s">
        <v>91</v>
      </c>
      <c r="B6" s="33">
        <v>1891274.8</v>
      </c>
    </row>
    <row r="7" spans="1:5" ht="21.75" customHeight="1" x14ac:dyDescent="0.2">
      <c r="A7" s="34" t="s">
        <v>92</v>
      </c>
      <c r="B7" s="35">
        <f>B5-B6</f>
        <v>-59877.810000000056</v>
      </c>
    </row>
    <row r="8" spans="1:5" ht="7.5" customHeight="1" x14ac:dyDescent="0.2"/>
    <row r="9" spans="1:5" ht="21.75" customHeight="1" x14ac:dyDescent="0.2">
      <c r="A9" s="8" t="s">
        <v>93</v>
      </c>
      <c r="B9" s="8"/>
      <c r="C9" s="8"/>
      <c r="D9" s="8"/>
      <c r="E9" s="8"/>
    </row>
    <row r="11" spans="1:5" ht="21.75" customHeight="1" x14ac:dyDescent="0.2">
      <c r="A11" s="29" t="s">
        <v>94</v>
      </c>
      <c r="B11" s="30">
        <v>1119154.3400000001</v>
      </c>
      <c r="C11" s="31"/>
      <c r="D11" s="31"/>
      <c r="E11" s="31"/>
    </row>
    <row r="12" spans="1:5" ht="21.75" customHeight="1" x14ac:dyDescent="0.2">
      <c r="A12" s="32" t="s">
        <v>95</v>
      </c>
      <c r="B12" s="33">
        <f>B5-B11</f>
        <v>712242.64999999991</v>
      </c>
    </row>
    <row r="13" spans="1:5" ht="21.75" customHeight="1" x14ac:dyDescent="0.2">
      <c r="A13" s="29" t="s">
        <v>96</v>
      </c>
      <c r="B13" s="30">
        <f>B6-1119154.34</f>
        <v>772120.46</v>
      </c>
      <c r="C13" s="31"/>
      <c r="D13" s="31"/>
      <c r="E13" s="31"/>
    </row>
    <row r="14" spans="1:5" ht="21.75" customHeight="1" x14ac:dyDescent="0.2">
      <c r="A14" s="38" t="s">
        <v>97</v>
      </c>
      <c r="B14" s="41">
        <f>B12-B13</f>
        <v>-59877.810000000056</v>
      </c>
    </row>
    <row r="15" spans="1:5" ht="7.5" customHeight="1" x14ac:dyDescent="0.2"/>
    <row r="16" spans="1:5" ht="21.75" customHeight="1" x14ac:dyDescent="0.2">
      <c r="A16" s="8" t="s">
        <v>98</v>
      </c>
      <c r="B16" s="8"/>
      <c r="C16" s="8"/>
      <c r="D16" s="8"/>
      <c r="E16" s="8"/>
    </row>
    <row r="17" spans="1:5" ht="21.75" customHeight="1" x14ac:dyDescent="0.2">
      <c r="A17" s="42" t="s">
        <v>99</v>
      </c>
      <c r="B17" s="42" t="s">
        <v>45</v>
      </c>
      <c r="C17" s="42" t="s">
        <v>100</v>
      </c>
    </row>
    <row r="18" spans="1:5" ht="18" customHeight="1" x14ac:dyDescent="0.2">
      <c r="A18" s="27" t="s">
        <v>101</v>
      </c>
      <c r="B18" s="43">
        <v>1119154.3400000001</v>
      </c>
      <c r="C18" s="44">
        <f t="shared" ref="C18:C26" si="0">IFERROR(B18/$B$27,0)</f>
        <v>0.61109325073205456</v>
      </c>
    </row>
    <row r="19" spans="1:5" ht="18" customHeight="1" x14ac:dyDescent="0.2">
      <c r="A19" s="28" t="s">
        <v>102</v>
      </c>
      <c r="B19" s="45">
        <v>482965.14</v>
      </c>
      <c r="C19" s="46">
        <f t="shared" si="0"/>
        <v>0.26371406234537931</v>
      </c>
      <c r="D19" s="31"/>
      <c r="E19" s="31"/>
    </row>
    <row r="20" spans="1:5" ht="18" customHeight="1" x14ac:dyDescent="0.2">
      <c r="A20" s="27" t="s">
        <v>103</v>
      </c>
      <c r="B20" s="43">
        <v>188966.2</v>
      </c>
      <c r="C20" s="44">
        <f t="shared" si="0"/>
        <v>0.10318145166330103</v>
      </c>
    </row>
    <row r="21" spans="1:5" ht="18" customHeight="1" x14ac:dyDescent="0.2">
      <c r="A21" s="28" t="s">
        <v>104</v>
      </c>
      <c r="B21" s="45">
        <v>18398</v>
      </c>
      <c r="C21" s="46">
        <f t="shared" si="0"/>
        <v>1.0045883061105173E-2</v>
      </c>
      <c r="D21" s="31"/>
      <c r="E21" s="31"/>
    </row>
    <row r="22" spans="1:5" ht="18" customHeight="1" x14ac:dyDescent="0.2">
      <c r="A22" s="27" t="s">
        <v>105</v>
      </c>
      <c r="B22" s="43">
        <v>10361.6</v>
      </c>
      <c r="C22" s="44">
        <f t="shared" si="0"/>
        <v>5.6577574696134014E-3</v>
      </c>
    </row>
    <row r="23" spans="1:5" ht="18" customHeight="1" x14ac:dyDescent="0.2">
      <c r="A23" s="28" t="s">
        <v>106</v>
      </c>
      <c r="B23" s="45">
        <v>7380</v>
      </c>
      <c r="C23" s="46">
        <f t="shared" si="0"/>
        <v>4.029710674581812E-3</v>
      </c>
      <c r="D23" s="31"/>
      <c r="E23" s="31"/>
    </row>
    <row r="24" spans="1:5" ht="18" customHeight="1" x14ac:dyDescent="0.2">
      <c r="A24" s="27" t="s">
        <v>107</v>
      </c>
      <c r="B24" s="43">
        <v>1971.21</v>
      </c>
      <c r="C24" s="44">
        <f t="shared" si="0"/>
        <v>1.0763422735558827E-3</v>
      </c>
    </row>
    <row r="25" spans="1:5" ht="18" customHeight="1" x14ac:dyDescent="0.2">
      <c r="A25" s="28" t="s">
        <v>108</v>
      </c>
      <c r="B25" s="45">
        <v>1535</v>
      </c>
      <c r="C25" s="46">
        <f t="shared" si="0"/>
        <v>8.3815797906274816E-4</v>
      </c>
      <c r="D25" s="31"/>
      <c r="E25" s="31"/>
    </row>
    <row r="26" spans="1:5" ht="18" customHeight="1" x14ac:dyDescent="0.2">
      <c r="A26" s="27" t="s">
        <v>109</v>
      </c>
      <c r="B26" s="43">
        <v>665.5</v>
      </c>
      <c r="C26" s="44">
        <f t="shared" si="0"/>
        <v>3.6338380134609701E-4</v>
      </c>
    </row>
    <row r="27" spans="1:5" ht="19.5" customHeight="1" x14ac:dyDescent="0.2">
      <c r="A27" s="15" t="s">
        <v>110</v>
      </c>
      <c r="B27" s="47">
        <f>SUM(B18:B26)</f>
        <v>1831396.99</v>
      </c>
      <c r="C27" s="48">
        <v>1</v>
      </c>
    </row>
    <row r="28" spans="1:5" ht="7.5" customHeight="1" x14ac:dyDescent="0.2"/>
    <row r="29" spans="1:5" ht="21.75" customHeight="1" x14ac:dyDescent="0.2">
      <c r="A29" s="8" t="s">
        <v>111</v>
      </c>
      <c r="B29" s="8"/>
      <c r="C29" s="8"/>
      <c r="D29" s="8"/>
      <c r="E29" s="8"/>
    </row>
    <row r="30" spans="1:5" ht="21.75" customHeight="1" x14ac:dyDescent="0.2">
      <c r="A30" s="42" t="s">
        <v>99</v>
      </c>
      <c r="B30" s="42" t="s">
        <v>45</v>
      </c>
      <c r="C30" s="42" t="s">
        <v>100</v>
      </c>
    </row>
    <row r="31" spans="1:5" ht="18" customHeight="1" x14ac:dyDescent="0.2">
      <c r="A31" s="27" t="s">
        <v>112</v>
      </c>
      <c r="B31" s="43">
        <v>1119154.3400000001</v>
      </c>
      <c r="C31" s="44">
        <f t="shared" ref="C31:C57" si="1">IFERROR(B31/$B$58,0)</f>
        <v>0.59174602231256934</v>
      </c>
    </row>
    <row r="32" spans="1:5" ht="18" customHeight="1" x14ac:dyDescent="0.2">
      <c r="A32" s="28" t="s">
        <v>113</v>
      </c>
      <c r="B32" s="45">
        <v>378502.95</v>
      </c>
      <c r="C32" s="46">
        <f t="shared" si="1"/>
        <v>0.20013112319796153</v>
      </c>
      <c r="D32" s="31"/>
      <c r="E32" s="31"/>
    </row>
    <row r="33" spans="1:5" ht="18" customHeight="1" x14ac:dyDescent="0.2">
      <c r="A33" s="27" t="s">
        <v>114</v>
      </c>
      <c r="B33" s="43">
        <v>60542.67</v>
      </c>
      <c r="C33" s="44">
        <f t="shared" si="1"/>
        <v>3.2011567012895217E-2</v>
      </c>
    </row>
    <row r="34" spans="1:5" ht="18" customHeight="1" x14ac:dyDescent="0.2">
      <c r="A34" s="28" t="s">
        <v>115</v>
      </c>
      <c r="B34" s="45">
        <v>54971.12</v>
      </c>
      <c r="C34" s="46">
        <f t="shared" si="1"/>
        <v>2.9065643977279246E-2</v>
      </c>
      <c r="D34" s="31"/>
      <c r="E34" s="31"/>
    </row>
    <row r="35" spans="1:5" ht="18" customHeight="1" x14ac:dyDescent="0.2">
      <c r="A35" s="27" t="s">
        <v>116</v>
      </c>
      <c r="B35" s="43">
        <v>52338.239999999998</v>
      </c>
      <c r="C35" s="44">
        <f t="shared" si="1"/>
        <v>2.7673524756952297E-2</v>
      </c>
    </row>
    <row r="36" spans="1:5" ht="18" customHeight="1" x14ac:dyDescent="0.2">
      <c r="A36" s="28" t="s">
        <v>117</v>
      </c>
      <c r="B36" s="45">
        <v>49274.35</v>
      </c>
      <c r="C36" s="46">
        <f t="shared" si="1"/>
        <v>2.6053511631413902E-2</v>
      </c>
      <c r="D36" s="31"/>
      <c r="E36" s="31"/>
    </row>
    <row r="37" spans="1:5" ht="18" customHeight="1" x14ac:dyDescent="0.2">
      <c r="A37" s="27" t="s">
        <v>118</v>
      </c>
      <c r="B37" s="43">
        <v>29864.91</v>
      </c>
      <c r="C37" s="44">
        <f t="shared" si="1"/>
        <v>1.5790888769839265E-2</v>
      </c>
    </row>
    <row r="38" spans="1:5" ht="18" customHeight="1" x14ac:dyDescent="0.2">
      <c r="A38" s="28" t="s">
        <v>119</v>
      </c>
      <c r="B38" s="45">
        <v>28500.61</v>
      </c>
      <c r="C38" s="46">
        <f t="shared" si="1"/>
        <v>1.5069523476969082E-2</v>
      </c>
      <c r="D38" s="31"/>
      <c r="E38" s="31"/>
    </row>
    <row r="39" spans="1:5" ht="18" customHeight="1" x14ac:dyDescent="0.2">
      <c r="A39" s="27" t="s">
        <v>120</v>
      </c>
      <c r="B39" s="43">
        <v>26774.68</v>
      </c>
      <c r="C39" s="44">
        <f t="shared" si="1"/>
        <v>1.4156948530166004E-2</v>
      </c>
    </row>
    <row r="40" spans="1:5" ht="18" customHeight="1" x14ac:dyDescent="0.2">
      <c r="A40" s="28" t="s">
        <v>121</v>
      </c>
      <c r="B40" s="45">
        <v>18462.71</v>
      </c>
      <c r="C40" s="46">
        <f t="shared" si="1"/>
        <v>9.7620451559974255E-3</v>
      </c>
      <c r="D40" s="31"/>
      <c r="E40" s="31"/>
    </row>
    <row r="41" spans="1:5" ht="18" customHeight="1" x14ac:dyDescent="0.2">
      <c r="A41" s="27" t="s">
        <v>122</v>
      </c>
      <c r="B41" s="43">
        <v>17827.849999999999</v>
      </c>
      <c r="C41" s="44">
        <f t="shared" si="1"/>
        <v>9.4263668082501823E-3</v>
      </c>
    </row>
    <row r="42" spans="1:5" ht="18" customHeight="1" x14ac:dyDescent="0.2">
      <c r="A42" s="28" t="s">
        <v>123</v>
      </c>
      <c r="B42" s="45">
        <v>15000</v>
      </c>
      <c r="C42" s="46">
        <f t="shared" si="1"/>
        <v>7.9311583911550031E-3</v>
      </c>
      <c r="D42" s="31"/>
      <c r="E42" s="31"/>
    </row>
    <row r="43" spans="1:5" ht="18" customHeight="1" x14ac:dyDescent="0.2">
      <c r="A43" s="27" t="s">
        <v>124</v>
      </c>
      <c r="B43" s="43">
        <v>10694.86</v>
      </c>
      <c r="C43" s="44">
        <f t="shared" si="1"/>
        <v>5.6548419087485337E-3</v>
      </c>
    </row>
    <row r="44" spans="1:5" ht="18" customHeight="1" x14ac:dyDescent="0.2">
      <c r="A44" s="28" t="s">
        <v>125</v>
      </c>
      <c r="B44" s="45">
        <v>7856.3</v>
      </c>
      <c r="C44" s="46">
        <f t="shared" si="1"/>
        <v>4.1539706445620703E-3</v>
      </c>
      <c r="D44" s="31"/>
      <c r="E44" s="31"/>
    </row>
    <row r="45" spans="1:5" ht="18" customHeight="1" x14ac:dyDescent="0.2">
      <c r="A45" s="27" t="s">
        <v>126</v>
      </c>
      <c r="B45" s="43">
        <v>5775.88</v>
      </c>
      <c r="C45" s="44">
        <f t="shared" si="1"/>
        <v>3.053961275220291E-3</v>
      </c>
    </row>
    <row r="46" spans="1:5" ht="18" customHeight="1" x14ac:dyDescent="0.2">
      <c r="A46" s="28" t="s">
        <v>127</v>
      </c>
      <c r="B46" s="45">
        <v>3856.65</v>
      </c>
      <c r="C46" s="46">
        <f t="shared" si="1"/>
        <v>2.0391801339498632E-3</v>
      </c>
      <c r="D46" s="31"/>
      <c r="E46" s="31"/>
    </row>
    <row r="47" spans="1:5" ht="18" customHeight="1" x14ac:dyDescent="0.2">
      <c r="A47" s="27" t="s">
        <v>128</v>
      </c>
      <c r="B47" s="43">
        <v>3207.21</v>
      </c>
      <c r="C47" s="44">
        <f t="shared" si="1"/>
        <v>1.695792700246416E-3</v>
      </c>
    </row>
    <row r="48" spans="1:5" ht="18" customHeight="1" x14ac:dyDescent="0.2">
      <c r="A48" s="28" t="s">
        <v>129</v>
      </c>
      <c r="B48" s="45">
        <v>2455.41</v>
      </c>
      <c r="C48" s="46">
        <f t="shared" si="1"/>
        <v>1.2982830416817272E-3</v>
      </c>
      <c r="D48" s="31"/>
      <c r="E48" s="31"/>
    </row>
    <row r="49" spans="1:5" ht="18" customHeight="1" x14ac:dyDescent="0.2">
      <c r="A49" s="27" t="s">
        <v>130</v>
      </c>
      <c r="B49" s="43">
        <v>1791.41</v>
      </c>
      <c r="C49" s="44">
        <f t="shared" si="1"/>
        <v>9.4719709689993241E-4</v>
      </c>
    </row>
    <row r="50" spans="1:5" ht="18" customHeight="1" x14ac:dyDescent="0.2">
      <c r="A50" s="28" t="s">
        <v>131</v>
      </c>
      <c r="B50" s="45">
        <v>1330</v>
      </c>
      <c r="C50" s="46">
        <f t="shared" si="1"/>
        <v>7.0322937734907699E-4</v>
      </c>
      <c r="D50" s="31"/>
      <c r="E50" s="31"/>
    </row>
    <row r="51" spans="1:5" ht="18" customHeight="1" x14ac:dyDescent="0.2">
      <c r="A51" s="27" t="s">
        <v>132</v>
      </c>
      <c r="B51" s="43">
        <v>1020</v>
      </c>
      <c r="C51" s="44">
        <f t="shared" si="1"/>
        <v>5.3931877059854028E-4</v>
      </c>
    </row>
    <row r="52" spans="1:5" ht="18" customHeight="1" x14ac:dyDescent="0.2">
      <c r="A52" s="28" t="s">
        <v>133</v>
      </c>
      <c r="B52" s="45">
        <v>851.16</v>
      </c>
      <c r="C52" s="46">
        <f t="shared" si="1"/>
        <v>4.5004565174769953E-4</v>
      </c>
      <c r="D52" s="31"/>
      <c r="E52" s="31"/>
    </row>
    <row r="53" spans="1:5" ht="18" customHeight="1" x14ac:dyDescent="0.2">
      <c r="A53" s="27" t="s">
        <v>134</v>
      </c>
      <c r="B53" s="43">
        <v>509.08</v>
      </c>
      <c r="C53" s="44">
        <f t="shared" si="1"/>
        <v>2.6917294091794596E-4</v>
      </c>
    </row>
    <row r="54" spans="1:5" ht="18" customHeight="1" x14ac:dyDescent="0.2">
      <c r="A54" s="28" t="s">
        <v>135</v>
      </c>
      <c r="B54" s="45">
        <v>448.94</v>
      </c>
      <c r="C54" s="46">
        <f t="shared" si="1"/>
        <v>2.3737428320834184E-4</v>
      </c>
      <c r="D54" s="31"/>
      <c r="E54" s="31"/>
    </row>
    <row r="55" spans="1:5" ht="18" customHeight="1" x14ac:dyDescent="0.2">
      <c r="A55" s="27" t="s">
        <v>136</v>
      </c>
      <c r="B55" s="43">
        <v>386.55</v>
      </c>
      <c r="C55" s="44">
        <f t="shared" si="1"/>
        <v>2.0438595174006446E-4</v>
      </c>
    </row>
    <row r="56" spans="1:5" ht="18" customHeight="1" x14ac:dyDescent="0.2">
      <c r="A56" s="28" t="s">
        <v>137</v>
      </c>
      <c r="B56" s="45">
        <v>96.92</v>
      </c>
      <c r="C56" s="46">
        <f t="shared" si="1"/>
        <v>5.1245858084716199E-5</v>
      </c>
      <c r="D56" s="31"/>
      <c r="E56" s="31"/>
    </row>
    <row r="57" spans="1:5" ht="18" customHeight="1" x14ac:dyDescent="0.2">
      <c r="A57" s="27" t="s">
        <v>138</v>
      </c>
      <c r="B57" s="43">
        <v>-220</v>
      </c>
      <c r="C57" s="44">
        <f t="shared" si="1"/>
        <v>-1.1632365640360673E-4</v>
      </c>
    </row>
    <row r="58" spans="1:5" ht="19.5" customHeight="1" x14ac:dyDescent="0.2">
      <c r="A58" s="15" t="s">
        <v>139</v>
      </c>
      <c r="B58" s="47">
        <f>SUM(B31:B57)</f>
        <v>1891274.7999999998</v>
      </c>
      <c r="C58" s="48">
        <v>1</v>
      </c>
    </row>
  </sheetData>
  <mergeCells count="5">
    <mergeCell ref="A1:E1"/>
    <mergeCell ref="A3:E3"/>
    <mergeCell ref="A9:E9"/>
    <mergeCell ref="A16:E16"/>
    <mergeCell ref="A29:E29"/>
  </mergeCells>
  <conditionalFormatting sqref="B18:B26">
    <cfRule type="dataBar" priority="2">
      <dataBar>
        <cfvo type="min"/>
        <cfvo type="max"/>
        <color rgb="FF2A9D8F"/>
      </dataBar>
      <extLst>
        <ext xmlns:x14="http://schemas.microsoft.com/office/spreadsheetml/2009/9/main" uri="{B025F937-C7B1-47D3-B67F-A62EFF666E3E}">
          <x14:id>{ECF85774-F8BA-40B3-829A-1E15E7DBDED7}</x14:id>
        </ext>
      </extLst>
    </cfRule>
  </conditionalFormatting>
  <conditionalFormatting sqref="B31:B57">
    <cfRule type="dataBar" priority="3">
      <dataBar>
        <cfvo type="min"/>
        <cfvo type="max"/>
        <color rgb="FFF4A261"/>
      </dataBar>
      <extLst>
        <ext xmlns:x14="http://schemas.microsoft.com/office/spreadsheetml/2009/9/main" uri="{B025F937-C7B1-47D3-B67F-A62EFF666E3E}">
          <x14:id>{A66AD7B1-CA00-49E0-AACF-80D99A8C4FC7}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85774-F8BA-40B3-829A-1E15E7DBDED7}">
            <x14:dataBar axisPosition="none">
              <x14:cfvo type="min"/>
              <x14:cfvo type="max"/>
              <x14:negativeFillColor rgb="FF2A9D8F"/>
            </x14:dataBar>
          </x14:cfRule>
          <xm:sqref>B18:B26</xm:sqref>
        </x14:conditionalFormatting>
        <x14:conditionalFormatting xmlns:xm="http://schemas.microsoft.com/office/excel/2006/main">
          <x14:cfRule type="dataBar" id="{A66AD7B1-CA00-49E0-AACF-80D99A8C4FC7}">
            <x14:dataBar axisPosition="none">
              <x14:cfvo type="min"/>
              <x14:cfvo type="max"/>
              <x14:negativeFillColor rgb="FFF4A261"/>
            </x14:dataBar>
          </x14:cfRule>
          <xm:sqref>B31:B57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6"/>
  <sheetViews>
    <sheetView showGridLines="0" zoomScaleNormal="100" workbookViewId="0">
      <selection sqref="A1:H1"/>
    </sheetView>
  </sheetViews>
  <sheetFormatPr baseColWidth="10" defaultColWidth="8.6640625" defaultRowHeight="15" x14ac:dyDescent="0.2"/>
  <cols>
    <col min="1" max="1" width="36" customWidth="1"/>
    <col min="2" max="8" width="16" customWidth="1"/>
  </cols>
  <sheetData>
    <row r="1" spans="1:8" ht="31.5" customHeight="1" x14ac:dyDescent="0.2">
      <c r="A1" s="112" t="s">
        <v>140</v>
      </c>
      <c r="B1" s="112"/>
      <c r="C1" s="112"/>
      <c r="D1" s="112"/>
      <c r="E1" s="112"/>
      <c r="F1" s="112"/>
      <c r="G1" s="112"/>
      <c r="H1" s="112"/>
    </row>
    <row r="2" spans="1:8" ht="7.5" customHeight="1" x14ac:dyDescent="0.2"/>
    <row r="3" spans="1:8" ht="21.75" customHeight="1" x14ac:dyDescent="0.2">
      <c r="A3" s="8" t="s">
        <v>88</v>
      </c>
      <c r="B3" s="8"/>
      <c r="C3" s="8"/>
      <c r="D3" s="8"/>
      <c r="E3" s="8"/>
      <c r="F3" s="8"/>
      <c r="G3" s="8"/>
      <c r="H3" s="8"/>
    </row>
    <row r="4" spans="1:8" ht="30" customHeight="1" x14ac:dyDescent="0.2">
      <c r="A4" s="49" t="s">
        <v>43</v>
      </c>
      <c r="B4" s="49" t="s">
        <v>44</v>
      </c>
      <c r="C4" s="49" t="s">
        <v>45</v>
      </c>
      <c r="D4" s="49" t="s">
        <v>46</v>
      </c>
      <c r="E4" s="49" t="s">
        <v>47</v>
      </c>
      <c r="F4" s="49" t="s">
        <v>48</v>
      </c>
      <c r="G4" s="49" t="s">
        <v>141</v>
      </c>
      <c r="H4" s="49" t="s">
        <v>142</v>
      </c>
    </row>
    <row r="5" spans="1:8" ht="21.75" customHeight="1" x14ac:dyDescent="0.2">
      <c r="A5" s="29" t="s">
        <v>49</v>
      </c>
      <c r="B5" s="30">
        <v>991426.31</v>
      </c>
      <c r="C5" s="30">
        <f>'Revenue &amp; Expenses'!B5</f>
        <v>1831396.99</v>
      </c>
      <c r="D5" s="30">
        <f>C5-B5</f>
        <v>839970.67999999993</v>
      </c>
      <c r="E5" s="50">
        <f>IFERROR((C5-B5)/ABS(B5),0)</f>
        <v>0.84723460687663199</v>
      </c>
      <c r="F5" s="22" t="str">
        <f>IF(D5&gt;=0,"Favorable","Unfavorable")</f>
        <v>Favorable</v>
      </c>
      <c r="G5" s="30">
        <v>3642540.07</v>
      </c>
      <c r="H5" s="50">
        <f>IFERROR(C5/G5,0)</f>
        <v>0.50278019041805633</v>
      </c>
    </row>
    <row r="6" spans="1:8" ht="21.75" customHeight="1" x14ac:dyDescent="0.2">
      <c r="A6" s="32" t="s">
        <v>50</v>
      </c>
      <c r="B6" s="33">
        <v>1248465.54</v>
      </c>
      <c r="C6" s="33">
        <f>'Revenue &amp; Expenses'!B6</f>
        <v>1891274.8</v>
      </c>
      <c r="D6" s="33">
        <f>C6-B6</f>
        <v>642809.26</v>
      </c>
      <c r="E6" s="51">
        <f>IFERROR((C6-B6)/ABS(B6),0)</f>
        <v>0.51487945754594078</v>
      </c>
      <c r="F6" s="21" t="str">
        <f>IF(D6&lt;=0,"Favorable","Unfavorable")</f>
        <v>Unfavorable</v>
      </c>
      <c r="G6" s="33">
        <v>3796862.32</v>
      </c>
      <c r="H6" s="51">
        <f>IFERROR(C6/G6,0)</f>
        <v>0.49811519107176899</v>
      </c>
    </row>
    <row r="7" spans="1:8" ht="21.75" customHeight="1" x14ac:dyDescent="0.2">
      <c r="A7" s="34" t="s">
        <v>143</v>
      </c>
      <c r="B7" s="35">
        <f>B5-B6</f>
        <v>-257039.22999999998</v>
      </c>
      <c r="C7" s="35">
        <f>'Revenue &amp; Expenses'!B7</f>
        <v>-59877.810000000056</v>
      </c>
      <c r="D7" s="35">
        <f>C7-B7</f>
        <v>197161.41999999993</v>
      </c>
      <c r="E7" s="52">
        <f>IFERROR((C7-B7)/ABS(B7),0)</f>
        <v>0.76704797162674332</v>
      </c>
      <c r="F7" s="53" t="str">
        <f>IF(D7&gt;=0,"Favorable","Unfavorable")</f>
        <v>Favorable</v>
      </c>
      <c r="G7" s="35">
        <f>G5-G6</f>
        <v>-154322.25</v>
      </c>
      <c r="H7" s="52">
        <f>IFERROR(C7/G7,0)</f>
        <v>0.38800503491881472</v>
      </c>
    </row>
    <row r="8" spans="1:8" ht="7.5" customHeight="1" x14ac:dyDescent="0.2"/>
    <row r="9" spans="1:8" ht="21.75" customHeight="1" x14ac:dyDescent="0.2">
      <c r="A9" s="8" t="s">
        <v>144</v>
      </c>
      <c r="B9" s="8"/>
      <c r="C9" s="8"/>
      <c r="D9" s="8"/>
      <c r="E9" s="8"/>
      <c r="F9" s="8"/>
      <c r="G9" s="8"/>
      <c r="H9" s="8"/>
    </row>
    <row r="10" spans="1:8" ht="21.75" customHeight="1" x14ac:dyDescent="0.2">
      <c r="A10" s="42" t="s">
        <v>99</v>
      </c>
      <c r="B10" s="42" t="s">
        <v>44</v>
      </c>
      <c r="C10" s="42" t="s">
        <v>45</v>
      </c>
      <c r="D10" s="42" t="s">
        <v>46</v>
      </c>
      <c r="E10" s="42" t="s">
        <v>47</v>
      </c>
      <c r="F10" s="42" t="s">
        <v>48</v>
      </c>
      <c r="G10" s="42" t="s">
        <v>141</v>
      </c>
      <c r="H10" s="42" t="s">
        <v>145</v>
      </c>
    </row>
    <row r="11" spans="1:8" ht="18" customHeight="1" x14ac:dyDescent="0.2">
      <c r="A11" s="27" t="s">
        <v>102</v>
      </c>
      <c r="B11" s="43">
        <v>674800.11</v>
      </c>
      <c r="C11" s="43">
        <v>482965.14</v>
      </c>
      <c r="D11" s="43">
        <f t="shared" ref="D11:D21" si="0">C11-B11</f>
        <v>-191834.96999999997</v>
      </c>
      <c r="E11" s="44">
        <f t="shared" ref="E11:E20" si="1">IFERROR((C11-B11)/ABS(B11),IF(C11&lt;&gt;0,1,0))</f>
        <v>-0.28428414156601128</v>
      </c>
      <c r="F11" s="54" t="str">
        <f t="shared" ref="F11:F20" si="2">IF(D11&gt;=0,"Favorable","Unfavorable")</f>
        <v>Unfavorable</v>
      </c>
      <c r="G11" s="43">
        <v>1680911</v>
      </c>
      <c r="H11" s="44">
        <f t="shared" ref="H11:H21" si="3">IFERROR(C11/G11,0)</f>
        <v>0.28732344544119232</v>
      </c>
    </row>
    <row r="12" spans="1:8" ht="18" customHeight="1" x14ac:dyDescent="0.2">
      <c r="A12" s="28" t="s">
        <v>101</v>
      </c>
      <c r="B12" s="45">
        <v>0</v>
      </c>
      <c r="C12" s="45">
        <v>1119154.3400000001</v>
      </c>
      <c r="D12" s="45">
        <f t="shared" si="0"/>
        <v>1119154.3400000001</v>
      </c>
      <c r="E12" s="46">
        <f t="shared" si="1"/>
        <v>1</v>
      </c>
      <c r="F12" s="55" t="str">
        <f t="shared" si="2"/>
        <v>Favorable</v>
      </c>
      <c r="G12" s="45">
        <v>0</v>
      </c>
      <c r="H12" s="46">
        <f t="shared" si="3"/>
        <v>0</v>
      </c>
    </row>
    <row r="13" spans="1:8" ht="18" customHeight="1" x14ac:dyDescent="0.2">
      <c r="A13" s="27" t="s">
        <v>103</v>
      </c>
      <c r="B13" s="43">
        <v>159594.92000000001</v>
      </c>
      <c r="C13" s="43">
        <v>188966.2</v>
      </c>
      <c r="D13" s="43">
        <f t="shared" si="0"/>
        <v>29371.279999999999</v>
      </c>
      <c r="E13" s="44">
        <f t="shared" si="1"/>
        <v>0.18403643424239316</v>
      </c>
      <c r="F13" s="54" t="str">
        <f t="shared" si="2"/>
        <v>Favorable</v>
      </c>
      <c r="G13" s="43">
        <v>1372885.07</v>
      </c>
      <c r="H13" s="44">
        <f t="shared" si="3"/>
        <v>0.1376416745503686</v>
      </c>
    </row>
    <row r="14" spans="1:8" ht="18" customHeight="1" x14ac:dyDescent="0.2">
      <c r="A14" s="28" t="s">
        <v>146</v>
      </c>
      <c r="B14" s="45">
        <v>100000</v>
      </c>
      <c r="C14" s="45">
        <v>0</v>
      </c>
      <c r="D14" s="45">
        <f t="shared" si="0"/>
        <v>-100000</v>
      </c>
      <c r="E14" s="46">
        <f t="shared" si="1"/>
        <v>-1</v>
      </c>
      <c r="F14" s="55" t="str">
        <f t="shared" si="2"/>
        <v>Unfavorable</v>
      </c>
      <c r="G14" s="45">
        <v>100000</v>
      </c>
      <c r="H14" s="46">
        <f t="shared" si="3"/>
        <v>0</v>
      </c>
    </row>
    <row r="15" spans="1:8" ht="18" customHeight="1" x14ac:dyDescent="0.2">
      <c r="A15" s="27" t="s">
        <v>104</v>
      </c>
      <c r="B15" s="43">
        <v>20581.32</v>
      </c>
      <c r="C15" s="43">
        <v>18398</v>
      </c>
      <c r="D15" s="43">
        <f t="shared" si="0"/>
        <v>-2183.3199999999997</v>
      </c>
      <c r="E15" s="44">
        <f t="shared" si="1"/>
        <v>-0.10608260305947334</v>
      </c>
      <c r="F15" s="54" t="str">
        <f t="shared" si="2"/>
        <v>Unfavorable</v>
      </c>
      <c r="G15" s="43">
        <v>84244</v>
      </c>
      <c r="H15" s="44">
        <f t="shared" si="3"/>
        <v>0.21838944019752149</v>
      </c>
    </row>
    <row r="16" spans="1:8" ht="18" customHeight="1" x14ac:dyDescent="0.2">
      <c r="A16" s="28" t="s">
        <v>106</v>
      </c>
      <c r="B16" s="45">
        <v>20550</v>
      </c>
      <c r="C16" s="45">
        <v>7380</v>
      </c>
      <c r="D16" s="45">
        <f t="shared" si="0"/>
        <v>-13170</v>
      </c>
      <c r="E16" s="46">
        <f t="shared" si="1"/>
        <v>-0.64087591240875907</v>
      </c>
      <c r="F16" s="55" t="str">
        <f t="shared" si="2"/>
        <v>Unfavorable</v>
      </c>
      <c r="G16" s="45">
        <v>80000</v>
      </c>
      <c r="H16" s="46">
        <f t="shared" si="3"/>
        <v>9.2249999999999999E-2</v>
      </c>
    </row>
    <row r="17" spans="1:8" ht="18" customHeight="1" x14ac:dyDescent="0.2">
      <c r="A17" s="27" t="s">
        <v>105</v>
      </c>
      <c r="B17" s="43">
        <v>8333.32</v>
      </c>
      <c r="C17" s="43">
        <v>10361.6</v>
      </c>
      <c r="D17" s="43">
        <f t="shared" si="0"/>
        <v>2028.2800000000007</v>
      </c>
      <c r="E17" s="44">
        <f t="shared" si="1"/>
        <v>0.24339398943038318</v>
      </c>
      <c r="F17" s="54" t="str">
        <f t="shared" si="2"/>
        <v>Favorable</v>
      </c>
      <c r="G17" s="43">
        <v>25000</v>
      </c>
      <c r="H17" s="44">
        <f t="shared" si="3"/>
        <v>0.414464</v>
      </c>
    </row>
    <row r="18" spans="1:8" ht="18" customHeight="1" x14ac:dyDescent="0.2">
      <c r="A18" s="28" t="s">
        <v>109</v>
      </c>
      <c r="B18" s="45">
        <v>5900</v>
      </c>
      <c r="C18" s="45">
        <v>665.5</v>
      </c>
      <c r="D18" s="45">
        <f t="shared" si="0"/>
        <v>-5234.5</v>
      </c>
      <c r="E18" s="46">
        <f t="shared" si="1"/>
        <v>-0.8872033898305085</v>
      </c>
      <c r="F18" s="55" t="str">
        <f t="shared" si="2"/>
        <v>Unfavorable</v>
      </c>
      <c r="G18" s="45">
        <v>180000</v>
      </c>
      <c r="H18" s="46">
        <f t="shared" si="3"/>
        <v>3.6972222222222224E-3</v>
      </c>
    </row>
    <row r="19" spans="1:8" ht="18" customHeight="1" x14ac:dyDescent="0.2">
      <c r="A19" s="27" t="s">
        <v>107</v>
      </c>
      <c r="B19" s="43">
        <v>1666.64</v>
      </c>
      <c r="C19" s="43">
        <v>1971.21</v>
      </c>
      <c r="D19" s="43">
        <f t="shared" si="0"/>
        <v>304.56999999999994</v>
      </c>
      <c r="E19" s="44">
        <f t="shared" si="1"/>
        <v>0.18274492391878266</v>
      </c>
      <c r="F19" s="54" t="str">
        <f t="shared" si="2"/>
        <v>Favorable</v>
      </c>
      <c r="G19" s="43">
        <v>5000</v>
      </c>
      <c r="H19" s="44">
        <f t="shared" si="3"/>
        <v>0.39424199999999998</v>
      </c>
    </row>
    <row r="20" spans="1:8" ht="18" customHeight="1" x14ac:dyDescent="0.2">
      <c r="A20" s="28" t="s">
        <v>108</v>
      </c>
      <c r="B20" s="45">
        <v>0</v>
      </c>
      <c r="C20" s="45">
        <v>1535</v>
      </c>
      <c r="D20" s="45">
        <f t="shared" si="0"/>
        <v>1535</v>
      </c>
      <c r="E20" s="46">
        <f t="shared" si="1"/>
        <v>1</v>
      </c>
      <c r="F20" s="55" t="str">
        <f t="shared" si="2"/>
        <v>Favorable</v>
      </c>
      <c r="G20" s="45">
        <v>0</v>
      </c>
      <c r="H20" s="46">
        <f t="shared" si="3"/>
        <v>0</v>
      </c>
    </row>
    <row r="21" spans="1:8" ht="21.75" customHeight="1" x14ac:dyDescent="0.2">
      <c r="A21" s="34" t="s">
        <v>110</v>
      </c>
      <c r="B21" s="35">
        <f>SUM(B11:B20)</f>
        <v>991426.30999999994</v>
      </c>
      <c r="C21" s="35">
        <f>SUM(C11:C20)</f>
        <v>1831396.99</v>
      </c>
      <c r="D21" s="35">
        <f t="shared" si="0"/>
        <v>839970.68</v>
      </c>
      <c r="E21" s="52">
        <f>IFERROR((C21-B21)/ABS(B21),0)</f>
        <v>0.84723460687663221</v>
      </c>
      <c r="F21" s="56"/>
      <c r="G21" s="35">
        <f>SUM(G11:G20)</f>
        <v>3528040.0700000003</v>
      </c>
      <c r="H21" s="52">
        <f t="shared" si="3"/>
        <v>0.51909755945600689</v>
      </c>
    </row>
    <row r="22" spans="1:8" ht="7.5" customHeight="1" x14ac:dyDescent="0.2"/>
    <row r="23" spans="1:8" ht="21.75" customHeight="1" x14ac:dyDescent="0.2">
      <c r="A23" s="8" t="s">
        <v>147</v>
      </c>
      <c r="B23" s="8"/>
      <c r="C23" s="8"/>
      <c r="D23" s="8"/>
      <c r="E23" s="8"/>
      <c r="F23" s="8"/>
      <c r="G23" s="8"/>
      <c r="H23" s="8"/>
    </row>
    <row r="24" spans="1:8" ht="21.75" customHeight="1" x14ac:dyDescent="0.2">
      <c r="A24" s="42" t="s">
        <v>99</v>
      </c>
      <c r="B24" s="42" t="s">
        <v>44</v>
      </c>
      <c r="C24" s="42" t="s">
        <v>45</v>
      </c>
      <c r="D24" s="42" t="s">
        <v>46</v>
      </c>
      <c r="E24" s="42" t="s">
        <v>47</v>
      </c>
      <c r="F24" s="42" t="s">
        <v>48</v>
      </c>
      <c r="G24" s="42" t="s">
        <v>141</v>
      </c>
      <c r="H24" s="42" t="s">
        <v>145</v>
      </c>
    </row>
    <row r="25" spans="1:8" ht="18" customHeight="1" x14ac:dyDescent="0.2">
      <c r="A25" s="27" t="s">
        <v>112</v>
      </c>
      <c r="B25" s="43">
        <v>0</v>
      </c>
      <c r="C25" s="43">
        <v>1119154.3400000001</v>
      </c>
      <c r="D25" s="43">
        <f t="shared" ref="D25:D54" si="4">C25-B25</f>
        <v>1119154.3400000001</v>
      </c>
      <c r="E25" s="44">
        <f t="shared" ref="E25:E53" si="5">IFERROR((C25-B25)/ABS(B25),IF(C25&lt;&gt;0,1,0))</f>
        <v>1</v>
      </c>
      <c r="F25" s="54" t="str">
        <f t="shared" ref="F25:F53" si="6">IF(D25&lt;=0,"Favorable","Unfavorable")</f>
        <v>Unfavorable</v>
      </c>
      <c r="G25" s="43">
        <v>0</v>
      </c>
      <c r="H25" s="44">
        <f t="shared" ref="H25:H54" si="7">IFERROR(C25/G25,0)</f>
        <v>0</v>
      </c>
    </row>
    <row r="26" spans="1:8" ht="18" customHeight="1" x14ac:dyDescent="0.2">
      <c r="A26" s="28" t="s">
        <v>113</v>
      </c>
      <c r="B26" s="45">
        <v>584093</v>
      </c>
      <c r="C26" s="45">
        <v>378502.95</v>
      </c>
      <c r="D26" s="45">
        <f t="shared" si="4"/>
        <v>-205590.05</v>
      </c>
      <c r="E26" s="46">
        <f t="shared" si="5"/>
        <v>-0.35198170496821568</v>
      </c>
      <c r="F26" s="55" t="str">
        <f t="shared" si="6"/>
        <v>Favorable</v>
      </c>
      <c r="G26" s="45">
        <v>1752279.01</v>
      </c>
      <c r="H26" s="46">
        <f t="shared" si="7"/>
        <v>0.21600609711121291</v>
      </c>
    </row>
    <row r="27" spans="1:8" ht="18" customHeight="1" x14ac:dyDescent="0.2">
      <c r="A27" s="27" t="s">
        <v>115</v>
      </c>
      <c r="B27" s="43">
        <v>208029.9</v>
      </c>
      <c r="C27" s="43">
        <v>54971.12</v>
      </c>
      <c r="D27" s="43">
        <f t="shared" si="4"/>
        <v>-153058.78</v>
      </c>
      <c r="E27" s="44">
        <f t="shared" si="5"/>
        <v>-0.73575375462854142</v>
      </c>
      <c r="F27" s="54" t="str">
        <f t="shared" si="6"/>
        <v>Favorable</v>
      </c>
      <c r="G27" s="43">
        <v>635271.5</v>
      </c>
      <c r="H27" s="44">
        <f t="shared" si="7"/>
        <v>8.6531695503418618E-2</v>
      </c>
    </row>
    <row r="28" spans="1:8" ht="18" customHeight="1" x14ac:dyDescent="0.2">
      <c r="A28" s="28" t="s">
        <v>114</v>
      </c>
      <c r="B28" s="45">
        <v>60000</v>
      </c>
      <c r="C28" s="45">
        <v>60542.67</v>
      </c>
      <c r="D28" s="45">
        <f t="shared" si="4"/>
        <v>542.66999999999825</v>
      </c>
      <c r="E28" s="46">
        <f t="shared" si="5"/>
        <v>9.044499999999971E-3</v>
      </c>
      <c r="F28" s="55" t="str">
        <f t="shared" si="6"/>
        <v>Unfavorable</v>
      </c>
      <c r="G28" s="45">
        <v>180000</v>
      </c>
      <c r="H28" s="46">
        <f t="shared" si="7"/>
        <v>0.33634816666666667</v>
      </c>
    </row>
    <row r="29" spans="1:8" ht="18" customHeight="1" x14ac:dyDescent="0.2">
      <c r="A29" s="27" t="s">
        <v>122</v>
      </c>
      <c r="B29" s="43">
        <v>99311.28</v>
      </c>
      <c r="C29" s="43">
        <v>17827.849999999999</v>
      </c>
      <c r="D29" s="43">
        <f t="shared" si="4"/>
        <v>-81483.429999999993</v>
      </c>
      <c r="E29" s="44">
        <f t="shared" si="5"/>
        <v>-0.82048514529265959</v>
      </c>
      <c r="F29" s="54" t="str">
        <f t="shared" si="6"/>
        <v>Favorable</v>
      </c>
      <c r="G29" s="43">
        <v>297933.94</v>
      </c>
      <c r="H29" s="44">
        <f t="shared" si="7"/>
        <v>5.9838264818033143E-2</v>
      </c>
    </row>
    <row r="30" spans="1:8" ht="18" customHeight="1" x14ac:dyDescent="0.2">
      <c r="A30" s="28" t="s">
        <v>116</v>
      </c>
      <c r="B30" s="45">
        <v>44658</v>
      </c>
      <c r="C30" s="45">
        <v>52338.239999999998</v>
      </c>
      <c r="D30" s="45">
        <f t="shared" si="4"/>
        <v>7680.239999999998</v>
      </c>
      <c r="E30" s="46">
        <f t="shared" si="5"/>
        <v>0.17197904070939132</v>
      </c>
      <c r="F30" s="55" t="str">
        <f t="shared" si="6"/>
        <v>Unfavorable</v>
      </c>
      <c r="G30" s="45">
        <v>110724</v>
      </c>
      <c r="H30" s="46">
        <f t="shared" si="7"/>
        <v>0.47269101549799497</v>
      </c>
    </row>
    <row r="31" spans="1:8" ht="18" customHeight="1" x14ac:dyDescent="0.2">
      <c r="A31" s="27" t="s">
        <v>121</v>
      </c>
      <c r="B31" s="43">
        <v>58688.2</v>
      </c>
      <c r="C31" s="43">
        <v>18462.71</v>
      </c>
      <c r="D31" s="43">
        <f t="shared" si="4"/>
        <v>-40225.49</v>
      </c>
      <c r="E31" s="44">
        <f t="shared" si="5"/>
        <v>-0.68541018467085379</v>
      </c>
      <c r="F31" s="54" t="str">
        <f t="shared" si="6"/>
        <v>Favorable</v>
      </c>
      <c r="G31" s="43">
        <v>176064.66</v>
      </c>
      <c r="H31" s="44">
        <f t="shared" si="7"/>
        <v>0.10486323604066823</v>
      </c>
    </row>
    <row r="32" spans="1:8" ht="18" customHeight="1" x14ac:dyDescent="0.2">
      <c r="A32" s="28" t="s">
        <v>119</v>
      </c>
      <c r="B32" s="45">
        <v>46727.44</v>
      </c>
      <c r="C32" s="45">
        <v>28500.61</v>
      </c>
      <c r="D32" s="45">
        <f t="shared" si="4"/>
        <v>-18226.830000000002</v>
      </c>
      <c r="E32" s="46">
        <f t="shared" si="5"/>
        <v>-0.39006694995488733</v>
      </c>
      <c r="F32" s="55" t="str">
        <f t="shared" si="6"/>
        <v>Favorable</v>
      </c>
      <c r="G32" s="45">
        <v>140182.32</v>
      </c>
      <c r="H32" s="46">
        <f t="shared" si="7"/>
        <v>0.20331101668170423</v>
      </c>
    </row>
    <row r="33" spans="1:8" ht="18" customHeight="1" x14ac:dyDescent="0.2">
      <c r="A33" s="27" t="s">
        <v>118</v>
      </c>
      <c r="B33" s="43">
        <v>36666.67</v>
      </c>
      <c r="C33" s="43">
        <v>29864.91</v>
      </c>
      <c r="D33" s="43">
        <f t="shared" si="4"/>
        <v>-6801.7599999999984</v>
      </c>
      <c r="E33" s="44">
        <f t="shared" si="5"/>
        <v>-0.18550252859067917</v>
      </c>
      <c r="F33" s="54" t="str">
        <f t="shared" si="6"/>
        <v>Favorable</v>
      </c>
      <c r="G33" s="43">
        <v>110000</v>
      </c>
      <c r="H33" s="44">
        <f t="shared" si="7"/>
        <v>0.27149918181818183</v>
      </c>
    </row>
    <row r="34" spans="1:8" ht="18" customHeight="1" x14ac:dyDescent="0.2">
      <c r="A34" s="28" t="s">
        <v>117</v>
      </c>
      <c r="B34" s="45">
        <v>0</v>
      </c>
      <c r="C34" s="45">
        <v>49274.35</v>
      </c>
      <c r="D34" s="45">
        <f t="shared" si="4"/>
        <v>49274.35</v>
      </c>
      <c r="E34" s="46">
        <f t="shared" si="5"/>
        <v>1</v>
      </c>
      <c r="F34" s="55" t="str">
        <f t="shared" si="6"/>
        <v>Unfavorable</v>
      </c>
      <c r="G34" s="45">
        <v>0</v>
      </c>
      <c r="H34" s="46">
        <f t="shared" si="7"/>
        <v>0</v>
      </c>
    </row>
    <row r="35" spans="1:8" ht="18" customHeight="1" x14ac:dyDescent="0.2">
      <c r="A35" s="27" t="s">
        <v>120</v>
      </c>
      <c r="B35" s="43">
        <v>15581.33</v>
      </c>
      <c r="C35" s="43">
        <v>26774.68</v>
      </c>
      <c r="D35" s="43">
        <f t="shared" si="4"/>
        <v>11193.35</v>
      </c>
      <c r="E35" s="44">
        <f t="shared" si="5"/>
        <v>0.7183821920208352</v>
      </c>
      <c r="F35" s="54" t="str">
        <f t="shared" si="6"/>
        <v>Unfavorable</v>
      </c>
      <c r="G35" s="43">
        <v>46744.05</v>
      </c>
      <c r="H35" s="44">
        <f t="shared" si="7"/>
        <v>0.57279332877660361</v>
      </c>
    </row>
    <row r="36" spans="1:8" ht="18" customHeight="1" x14ac:dyDescent="0.2">
      <c r="A36" s="28" t="s">
        <v>124</v>
      </c>
      <c r="B36" s="45">
        <v>26666.639999999999</v>
      </c>
      <c r="C36" s="45">
        <v>10694.86</v>
      </c>
      <c r="D36" s="45">
        <f t="shared" si="4"/>
        <v>-15971.779999999999</v>
      </c>
      <c r="E36" s="46">
        <f t="shared" si="5"/>
        <v>-0.59894234894234888</v>
      </c>
      <c r="F36" s="55" t="str">
        <f t="shared" si="6"/>
        <v>Favorable</v>
      </c>
      <c r="G36" s="45">
        <v>80000</v>
      </c>
      <c r="H36" s="46">
        <f t="shared" si="7"/>
        <v>0.13368575000000002</v>
      </c>
    </row>
    <row r="37" spans="1:8" ht="18" customHeight="1" x14ac:dyDescent="0.2">
      <c r="A37" s="27" t="s">
        <v>129</v>
      </c>
      <c r="B37" s="43">
        <v>28000</v>
      </c>
      <c r="C37" s="43">
        <v>2455.41</v>
      </c>
      <c r="D37" s="43">
        <f t="shared" si="4"/>
        <v>-25544.59</v>
      </c>
      <c r="E37" s="44">
        <f t="shared" si="5"/>
        <v>-0.9123067857142857</v>
      </c>
      <c r="F37" s="54" t="str">
        <f t="shared" si="6"/>
        <v>Favorable</v>
      </c>
      <c r="G37" s="43">
        <v>90000</v>
      </c>
      <c r="H37" s="44">
        <f t="shared" si="7"/>
        <v>2.7282333333333332E-2</v>
      </c>
    </row>
    <row r="38" spans="1:8" ht="18" customHeight="1" x14ac:dyDescent="0.2">
      <c r="A38" s="28" t="s">
        <v>125</v>
      </c>
      <c r="B38" s="45">
        <v>12068.36</v>
      </c>
      <c r="C38" s="45">
        <v>7856.3</v>
      </c>
      <c r="D38" s="45">
        <f t="shared" si="4"/>
        <v>-4212.0600000000004</v>
      </c>
      <c r="E38" s="46">
        <f t="shared" si="5"/>
        <v>-0.3490167678126937</v>
      </c>
      <c r="F38" s="55" t="str">
        <f t="shared" si="6"/>
        <v>Favorable</v>
      </c>
      <c r="G38" s="45">
        <v>36205.089999999997</v>
      </c>
      <c r="H38" s="46">
        <f t="shared" si="7"/>
        <v>0.21699435079432203</v>
      </c>
    </row>
    <row r="39" spans="1:8" ht="18" customHeight="1" x14ac:dyDescent="0.2">
      <c r="A39" s="27" t="s">
        <v>123</v>
      </c>
      <c r="B39" s="43">
        <v>0</v>
      </c>
      <c r="C39" s="43">
        <v>15000</v>
      </c>
      <c r="D39" s="43">
        <f t="shared" si="4"/>
        <v>15000</v>
      </c>
      <c r="E39" s="44">
        <f t="shared" si="5"/>
        <v>1</v>
      </c>
      <c r="F39" s="54" t="str">
        <f t="shared" si="6"/>
        <v>Unfavorable</v>
      </c>
      <c r="G39" s="43">
        <v>23500</v>
      </c>
      <c r="H39" s="44">
        <f t="shared" si="7"/>
        <v>0.63829787234042556</v>
      </c>
    </row>
    <row r="40" spans="1:8" ht="18" customHeight="1" x14ac:dyDescent="0.2">
      <c r="A40" s="28" t="s">
        <v>127</v>
      </c>
      <c r="B40" s="45">
        <v>7943.88</v>
      </c>
      <c r="C40" s="45">
        <v>3856.65</v>
      </c>
      <c r="D40" s="45">
        <f t="shared" si="4"/>
        <v>-4087.23</v>
      </c>
      <c r="E40" s="46">
        <f t="shared" si="5"/>
        <v>-0.51451305910965417</v>
      </c>
      <c r="F40" s="55" t="str">
        <f t="shared" si="6"/>
        <v>Favorable</v>
      </c>
      <c r="G40" s="45">
        <v>23831.75</v>
      </c>
      <c r="H40" s="46">
        <f t="shared" si="7"/>
        <v>0.16182823334417321</v>
      </c>
    </row>
    <row r="41" spans="1:8" ht="18" customHeight="1" x14ac:dyDescent="0.2">
      <c r="A41" s="27" t="s">
        <v>136</v>
      </c>
      <c r="B41" s="43">
        <v>5833.32</v>
      </c>
      <c r="C41" s="43">
        <v>386.55</v>
      </c>
      <c r="D41" s="43">
        <f t="shared" si="4"/>
        <v>-5446.7699999999995</v>
      </c>
      <c r="E41" s="44">
        <f t="shared" si="5"/>
        <v>-0.93373413424944973</v>
      </c>
      <c r="F41" s="54" t="str">
        <f t="shared" si="6"/>
        <v>Favorable</v>
      </c>
      <c r="G41" s="43">
        <v>31000</v>
      </c>
      <c r="H41" s="44">
        <f t="shared" si="7"/>
        <v>1.2469354838709678E-2</v>
      </c>
    </row>
    <row r="42" spans="1:8" ht="18" customHeight="1" x14ac:dyDescent="0.2">
      <c r="A42" s="28" t="s">
        <v>128</v>
      </c>
      <c r="B42" s="45">
        <v>2839.32</v>
      </c>
      <c r="C42" s="45">
        <v>3207.21</v>
      </c>
      <c r="D42" s="45">
        <f t="shared" si="4"/>
        <v>367.88999999999987</v>
      </c>
      <c r="E42" s="46">
        <f t="shared" si="5"/>
        <v>0.12956975613879373</v>
      </c>
      <c r="F42" s="55" t="str">
        <f t="shared" si="6"/>
        <v>Unfavorable</v>
      </c>
      <c r="G42" s="45">
        <v>8518</v>
      </c>
      <c r="H42" s="46">
        <f t="shared" si="7"/>
        <v>0.37652148391641233</v>
      </c>
    </row>
    <row r="43" spans="1:8" ht="18" customHeight="1" x14ac:dyDescent="0.2">
      <c r="A43" s="27" t="s">
        <v>126</v>
      </c>
      <c r="B43" s="43">
        <v>0</v>
      </c>
      <c r="C43" s="43">
        <v>5775.88</v>
      </c>
      <c r="D43" s="43">
        <f t="shared" si="4"/>
        <v>5775.88</v>
      </c>
      <c r="E43" s="44">
        <f t="shared" si="5"/>
        <v>1</v>
      </c>
      <c r="F43" s="54" t="str">
        <f t="shared" si="6"/>
        <v>Unfavorable</v>
      </c>
      <c r="G43" s="43">
        <v>0</v>
      </c>
      <c r="H43" s="44">
        <f t="shared" si="7"/>
        <v>0</v>
      </c>
    </row>
    <row r="44" spans="1:8" ht="18" customHeight="1" x14ac:dyDescent="0.2">
      <c r="A44" s="28" t="s">
        <v>148</v>
      </c>
      <c r="B44" s="45">
        <v>4000</v>
      </c>
      <c r="C44" s="45">
        <v>0</v>
      </c>
      <c r="D44" s="45">
        <f t="shared" si="4"/>
        <v>-4000</v>
      </c>
      <c r="E44" s="46">
        <f t="shared" si="5"/>
        <v>-1</v>
      </c>
      <c r="F44" s="55" t="str">
        <f t="shared" si="6"/>
        <v>Favorable</v>
      </c>
      <c r="G44" s="45">
        <v>12000</v>
      </c>
      <c r="H44" s="46">
        <f t="shared" si="7"/>
        <v>0</v>
      </c>
    </row>
    <row r="45" spans="1:8" ht="18" customHeight="1" x14ac:dyDescent="0.2">
      <c r="A45" s="27" t="s">
        <v>135</v>
      </c>
      <c r="B45" s="43">
        <v>2500</v>
      </c>
      <c r="C45" s="43">
        <v>448.94</v>
      </c>
      <c r="D45" s="43">
        <f t="shared" si="4"/>
        <v>-2051.06</v>
      </c>
      <c r="E45" s="44">
        <f t="shared" si="5"/>
        <v>-0.82042399999999993</v>
      </c>
      <c r="F45" s="54" t="str">
        <f t="shared" si="6"/>
        <v>Favorable</v>
      </c>
      <c r="G45" s="43">
        <v>7500</v>
      </c>
      <c r="H45" s="44">
        <f t="shared" si="7"/>
        <v>5.9858666666666664E-2</v>
      </c>
    </row>
    <row r="46" spans="1:8" ht="18" customHeight="1" x14ac:dyDescent="0.2">
      <c r="A46" s="28" t="s">
        <v>149</v>
      </c>
      <c r="B46" s="45">
        <v>2833.32</v>
      </c>
      <c r="C46" s="45">
        <v>0</v>
      </c>
      <c r="D46" s="45">
        <f t="shared" si="4"/>
        <v>-2833.32</v>
      </c>
      <c r="E46" s="46">
        <f t="shared" si="5"/>
        <v>-1</v>
      </c>
      <c r="F46" s="55" t="str">
        <f t="shared" si="6"/>
        <v>Favorable</v>
      </c>
      <c r="G46" s="45">
        <v>8500</v>
      </c>
      <c r="H46" s="46">
        <f t="shared" si="7"/>
        <v>0</v>
      </c>
    </row>
    <row r="47" spans="1:8" ht="18" customHeight="1" x14ac:dyDescent="0.2">
      <c r="A47" s="27" t="s">
        <v>130</v>
      </c>
      <c r="B47" s="43">
        <v>375</v>
      </c>
      <c r="C47" s="43">
        <v>1791.41</v>
      </c>
      <c r="D47" s="43">
        <f t="shared" si="4"/>
        <v>1416.41</v>
      </c>
      <c r="E47" s="44">
        <f t="shared" si="5"/>
        <v>3.7770933333333336</v>
      </c>
      <c r="F47" s="54" t="str">
        <f t="shared" si="6"/>
        <v>Unfavorable</v>
      </c>
      <c r="G47" s="43">
        <v>700</v>
      </c>
      <c r="H47" s="44">
        <f t="shared" si="7"/>
        <v>2.5591571428571429</v>
      </c>
    </row>
    <row r="48" spans="1:8" ht="18" customHeight="1" x14ac:dyDescent="0.2">
      <c r="A48" s="28" t="s">
        <v>131</v>
      </c>
      <c r="B48" s="45">
        <v>0</v>
      </c>
      <c r="C48" s="45">
        <v>1330</v>
      </c>
      <c r="D48" s="45">
        <f t="shared" si="4"/>
        <v>1330</v>
      </c>
      <c r="E48" s="46">
        <f t="shared" si="5"/>
        <v>1</v>
      </c>
      <c r="F48" s="55" t="str">
        <f t="shared" si="6"/>
        <v>Unfavorable</v>
      </c>
      <c r="G48" s="45">
        <v>20000</v>
      </c>
      <c r="H48" s="46">
        <f t="shared" si="7"/>
        <v>6.6500000000000004E-2</v>
      </c>
    </row>
    <row r="49" spans="1:8" ht="18" customHeight="1" x14ac:dyDescent="0.2">
      <c r="A49" s="27" t="s">
        <v>137</v>
      </c>
      <c r="B49" s="43">
        <v>999.92</v>
      </c>
      <c r="C49" s="43">
        <v>96.92</v>
      </c>
      <c r="D49" s="43">
        <f t="shared" si="4"/>
        <v>-903</v>
      </c>
      <c r="E49" s="44">
        <f t="shared" si="5"/>
        <v>-0.90307224577966239</v>
      </c>
      <c r="F49" s="54" t="str">
        <f t="shared" si="6"/>
        <v>Favorable</v>
      </c>
      <c r="G49" s="43">
        <v>3000</v>
      </c>
      <c r="H49" s="44">
        <f t="shared" si="7"/>
        <v>3.2306666666666664E-2</v>
      </c>
    </row>
    <row r="50" spans="1:8" ht="18" customHeight="1" x14ac:dyDescent="0.2">
      <c r="A50" s="28" t="s">
        <v>132</v>
      </c>
      <c r="B50" s="45">
        <v>0</v>
      </c>
      <c r="C50" s="45">
        <v>1020</v>
      </c>
      <c r="D50" s="45">
        <f t="shared" si="4"/>
        <v>1020</v>
      </c>
      <c r="E50" s="46">
        <f t="shared" si="5"/>
        <v>1</v>
      </c>
      <c r="F50" s="55" t="str">
        <f t="shared" si="6"/>
        <v>Unfavorable</v>
      </c>
      <c r="G50" s="45">
        <v>0</v>
      </c>
      <c r="H50" s="46">
        <f t="shared" si="7"/>
        <v>0</v>
      </c>
    </row>
    <row r="51" spans="1:8" ht="18" customHeight="1" x14ac:dyDescent="0.2">
      <c r="A51" s="27" t="s">
        <v>133</v>
      </c>
      <c r="B51" s="43">
        <v>166.64</v>
      </c>
      <c r="C51" s="43">
        <v>851.16</v>
      </c>
      <c r="D51" s="43">
        <f t="shared" si="4"/>
        <v>684.52</v>
      </c>
      <c r="E51" s="44">
        <f t="shared" si="5"/>
        <v>4.1077772443590979</v>
      </c>
      <c r="F51" s="54" t="str">
        <f t="shared" si="6"/>
        <v>Unfavorable</v>
      </c>
      <c r="G51" s="43">
        <v>500</v>
      </c>
      <c r="H51" s="44">
        <f t="shared" si="7"/>
        <v>1.7023199999999998</v>
      </c>
    </row>
    <row r="52" spans="1:8" ht="18" customHeight="1" x14ac:dyDescent="0.2">
      <c r="A52" s="28" t="s">
        <v>134</v>
      </c>
      <c r="B52" s="45">
        <v>150</v>
      </c>
      <c r="C52" s="45">
        <v>509.08</v>
      </c>
      <c r="D52" s="45">
        <f t="shared" si="4"/>
        <v>359.08</v>
      </c>
      <c r="E52" s="46">
        <f t="shared" si="5"/>
        <v>2.3938666666666664</v>
      </c>
      <c r="F52" s="55" t="str">
        <f t="shared" si="6"/>
        <v>Unfavorable</v>
      </c>
      <c r="G52" s="45">
        <v>1408</v>
      </c>
      <c r="H52" s="46">
        <f t="shared" si="7"/>
        <v>0.36156250000000001</v>
      </c>
    </row>
    <row r="53" spans="1:8" ht="18" customHeight="1" x14ac:dyDescent="0.2">
      <c r="A53" s="27" t="s">
        <v>138</v>
      </c>
      <c r="B53" s="43">
        <v>333.32</v>
      </c>
      <c r="C53" s="43">
        <v>-220</v>
      </c>
      <c r="D53" s="43">
        <f t="shared" si="4"/>
        <v>-553.31999999999994</v>
      </c>
      <c r="E53" s="44">
        <f t="shared" si="5"/>
        <v>-1.6600264010560422</v>
      </c>
      <c r="F53" s="54" t="str">
        <f t="shared" si="6"/>
        <v>Favorable</v>
      </c>
      <c r="G53" s="43">
        <v>1000</v>
      </c>
      <c r="H53" s="44">
        <f t="shared" si="7"/>
        <v>-0.22</v>
      </c>
    </row>
    <row r="54" spans="1:8" ht="21.75" customHeight="1" x14ac:dyDescent="0.2">
      <c r="A54" s="34" t="s">
        <v>139</v>
      </c>
      <c r="B54" s="35">
        <f>SUM(B25:B53)</f>
        <v>1248465.54</v>
      </c>
      <c r="C54" s="35">
        <f>SUM(C25:C53)</f>
        <v>1891274.7999999998</v>
      </c>
      <c r="D54" s="35">
        <f t="shared" si="4"/>
        <v>642809.25999999978</v>
      </c>
      <c r="E54" s="52">
        <f>IFERROR((C54-B54)/ABS(B54),0)</f>
        <v>0.51487945754594056</v>
      </c>
      <c r="F54" s="56"/>
      <c r="G54" s="35">
        <f>SUM(G25:G53)</f>
        <v>3796862.3199999994</v>
      </c>
      <c r="H54" s="52">
        <f t="shared" si="7"/>
        <v>0.49811519107176899</v>
      </c>
    </row>
    <row r="56" spans="1:8" ht="48" customHeight="1" x14ac:dyDescent="0.2">
      <c r="A56" s="111" t="s">
        <v>150</v>
      </c>
      <c r="B56" s="111"/>
      <c r="C56" s="111"/>
      <c r="D56" s="111"/>
      <c r="E56" s="111"/>
      <c r="F56" s="111"/>
      <c r="G56" s="111"/>
      <c r="H56" s="111"/>
    </row>
  </sheetData>
  <mergeCells count="5">
    <mergeCell ref="A1:H1"/>
    <mergeCell ref="A3:H3"/>
    <mergeCell ref="A9:H9"/>
    <mergeCell ref="A23:H23"/>
    <mergeCell ref="A56:H56"/>
  </mergeCells>
  <conditionalFormatting sqref="F5:F6">
    <cfRule type="cellIs" dxfId="5" priority="2" operator="equal">
      <formula>"Favorable"</formula>
    </cfRule>
    <cfRule type="cellIs" dxfId="4" priority="3" operator="equal">
      <formula>"Unfavorable"</formula>
    </cfRule>
  </conditionalFormatting>
  <conditionalFormatting sqref="F11:F20">
    <cfRule type="cellIs" dxfId="3" priority="4" operator="equal">
      <formula>"Favorable"</formula>
    </cfRule>
    <cfRule type="cellIs" dxfId="2" priority="5" operator="equal">
      <formula>"Unfavorable"</formula>
    </cfRule>
  </conditionalFormatting>
  <conditionalFormatting sqref="F25:F53">
    <cfRule type="cellIs" dxfId="1" priority="6" operator="equal">
      <formula>"Favorable"</formula>
    </cfRule>
    <cfRule type="cellIs" dxfId="0" priority="7" operator="equal">
      <formula>"Unfavorable"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79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K1"/>
    </sheetView>
  </sheetViews>
  <sheetFormatPr baseColWidth="10" defaultColWidth="8.6640625" defaultRowHeight="15" x14ac:dyDescent="0.2"/>
  <cols>
    <col min="1" max="1" width="8" customWidth="1"/>
    <col min="2" max="2" width="30" customWidth="1"/>
    <col min="3" max="6" width="13" customWidth="1"/>
    <col min="7" max="11" width="11" customWidth="1"/>
  </cols>
  <sheetData>
    <row r="1" spans="1:11" ht="31.5" customHeight="1" x14ac:dyDescent="0.2">
      <c r="A1" s="112" t="s">
        <v>151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</row>
    <row r="2" spans="1:11" ht="19.5" customHeight="1" x14ac:dyDescent="0.2">
      <c r="G2" s="57" t="s">
        <v>152</v>
      </c>
      <c r="H2" s="58">
        <f>COUNTIF(E6:E78,"&gt;0")/COUNTA(E6:E78)</f>
        <v>0.30136986301369861</v>
      </c>
    </row>
    <row r="3" spans="1:11" ht="7.5" customHeight="1" x14ac:dyDescent="0.2"/>
    <row r="4" spans="1:11" ht="21.75" customHeight="1" x14ac:dyDescent="0.2">
      <c r="A4" s="8" t="s">
        <v>153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21.75" customHeight="1" x14ac:dyDescent="0.2">
      <c r="A5" s="42" t="s">
        <v>154</v>
      </c>
      <c r="B5" s="42" t="s">
        <v>155</v>
      </c>
      <c r="C5" s="42" t="s">
        <v>49</v>
      </c>
      <c r="D5" s="42" t="s">
        <v>156</v>
      </c>
      <c r="E5" s="42" t="s">
        <v>157</v>
      </c>
      <c r="F5" s="42" t="s">
        <v>158</v>
      </c>
      <c r="G5" s="42" t="s">
        <v>159</v>
      </c>
      <c r="H5" s="42" t="s">
        <v>160</v>
      </c>
      <c r="I5" s="42" t="s">
        <v>161</v>
      </c>
      <c r="J5" s="42" t="s">
        <v>162</v>
      </c>
      <c r="K5" s="42" t="s">
        <v>163</v>
      </c>
    </row>
    <row r="6" spans="1:11" ht="15.75" customHeight="1" x14ac:dyDescent="0.2">
      <c r="A6" s="59" t="s">
        <v>164</v>
      </c>
      <c r="B6" s="60" t="s">
        <v>165</v>
      </c>
      <c r="C6" s="61">
        <v>50000</v>
      </c>
      <c r="D6" s="61">
        <v>0</v>
      </c>
      <c r="E6" s="61">
        <f t="shared" ref="E6:E37" si="0">C6-D6</f>
        <v>50000</v>
      </c>
      <c r="F6" s="62">
        <f t="shared" ref="F6:F37" si="1">IFERROR(E6/C6,IF(D6&gt;0,-1,0))</f>
        <v>1</v>
      </c>
      <c r="G6" s="61">
        <v>50000</v>
      </c>
      <c r="H6" s="61">
        <v>0</v>
      </c>
      <c r="I6" s="61">
        <v>0</v>
      </c>
      <c r="J6" s="61">
        <v>0</v>
      </c>
      <c r="K6" s="59">
        <v>1</v>
      </c>
    </row>
    <row r="7" spans="1:11" ht="15.75" customHeight="1" x14ac:dyDescent="0.2">
      <c r="A7" s="63" t="s">
        <v>166</v>
      </c>
      <c r="B7" s="64" t="s">
        <v>167</v>
      </c>
      <c r="C7" s="65">
        <v>49632.6</v>
      </c>
      <c r="D7" s="65">
        <v>0</v>
      </c>
      <c r="E7" s="65">
        <f t="shared" si="0"/>
        <v>49632.6</v>
      </c>
      <c r="F7" s="66">
        <f t="shared" si="1"/>
        <v>1</v>
      </c>
      <c r="G7" s="65">
        <v>22651.63</v>
      </c>
      <c r="H7" s="65">
        <v>4452.49</v>
      </c>
      <c r="I7" s="65">
        <v>10643.25</v>
      </c>
      <c r="J7" s="65">
        <v>11885.23</v>
      </c>
      <c r="K7" s="63">
        <v>2</v>
      </c>
    </row>
    <row r="8" spans="1:11" ht="15.75" customHeight="1" x14ac:dyDescent="0.2">
      <c r="A8" s="59" t="s">
        <v>168</v>
      </c>
      <c r="B8" s="60" t="s">
        <v>169</v>
      </c>
      <c r="C8" s="61">
        <v>44500</v>
      </c>
      <c r="D8" s="61">
        <v>1673.11</v>
      </c>
      <c r="E8" s="61">
        <f t="shared" si="0"/>
        <v>42826.89</v>
      </c>
      <c r="F8" s="62">
        <f t="shared" si="1"/>
        <v>0.96240202247191009</v>
      </c>
      <c r="G8" s="61">
        <v>0</v>
      </c>
      <c r="H8" s="61">
        <v>0</v>
      </c>
      <c r="I8" s="61">
        <v>17500</v>
      </c>
      <c r="J8" s="61">
        <v>25326.89</v>
      </c>
      <c r="K8" s="59">
        <v>3</v>
      </c>
    </row>
    <row r="9" spans="1:11" ht="15.75" customHeight="1" x14ac:dyDescent="0.2">
      <c r="A9" s="63" t="s">
        <v>170</v>
      </c>
      <c r="B9" s="64" t="s">
        <v>171</v>
      </c>
      <c r="C9" s="65">
        <v>50000</v>
      </c>
      <c r="D9" s="65">
        <v>8379.73</v>
      </c>
      <c r="E9" s="65">
        <f t="shared" si="0"/>
        <v>41620.270000000004</v>
      </c>
      <c r="F9" s="66">
        <f t="shared" si="1"/>
        <v>0.83240540000000007</v>
      </c>
      <c r="G9" s="65">
        <v>22939.27</v>
      </c>
      <c r="H9" s="65">
        <v>-2108.98</v>
      </c>
      <c r="I9" s="65">
        <v>-2104.13</v>
      </c>
      <c r="J9" s="65">
        <v>22894.11</v>
      </c>
      <c r="K9" s="63">
        <v>4</v>
      </c>
    </row>
    <row r="10" spans="1:11" ht="15.75" customHeight="1" x14ac:dyDescent="0.2">
      <c r="A10" s="59" t="s">
        <v>172</v>
      </c>
      <c r="B10" s="60" t="s">
        <v>173</v>
      </c>
      <c r="C10" s="61">
        <v>30059.86</v>
      </c>
      <c r="D10" s="61">
        <v>0</v>
      </c>
      <c r="E10" s="61">
        <f t="shared" si="0"/>
        <v>30059.86</v>
      </c>
      <c r="F10" s="62">
        <f t="shared" si="1"/>
        <v>1</v>
      </c>
      <c r="G10" s="61">
        <v>16950</v>
      </c>
      <c r="H10" s="61">
        <v>0</v>
      </c>
      <c r="I10" s="61">
        <v>10285.459999999999</v>
      </c>
      <c r="J10" s="61">
        <v>2824.4</v>
      </c>
      <c r="K10" s="59">
        <v>5</v>
      </c>
    </row>
    <row r="11" spans="1:11" ht="15.75" customHeight="1" x14ac:dyDescent="0.2">
      <c r="A11" s="63" t="s">
        <v>174</v>
      </c>
      <c r="B11" s="64" t="s">
        <v>175</v>
      </c>
      <c r="C11" s="65">
        <v>29935</v>
      </c>
      <c r="D11" s="65">
        <v>0</v>
      </c>
      <c r="E11" s="65">
        <f t="shared" si="0"/>
        <v>29935</v>
      </c>
      <c r="F11" s="66">
        <f t="shared" si="1"/>
        <v>1</v>
      </c>
      <c r="G11" s="65">
        <v>25640</v>
      </c>
      <c r="H11" s="65">
        <v>0</v>
      </c>
      <c r="I11" s="65">
        <v>4295</v>
      </c>
      <c r="J11" s="65">
        <v>0</v>
      </c>
      <c r="K11" s="63">
        <v>6</v>
      </c>
    </row>
    <row r="12" spans="1:11" ht="15.75" customHeight="1" x14ac:dyDescent="0.2">
      <c r="A12" s="59" t="s">
        <v>176</v>
      </c>
      <c r="B12" s="60" t="s">
        <v>177</v>
      </c>
      <c r="C12" s="61">
        <v>25000</v>
      </c>
      <c r="D12" s="61">
        <v>0</v>
      </c>
      <c r="E12" s="61">
        <f t="shared" si="0"/>
        <v>25000</v>
      </c>
      <c r="F12" s="62">
        <f t="shared" si="1"/>
        <v>1</v>
      </c>
      <c r="G12" s="61">
        <v>25000</v>
      </c>
      <c r="H12" s="61">
        <v>0</v>
      </c>
      <c r="I12" s="61">
        <v>0</v>
      </c>
      <c r="J12" s="61">
        <v>0</v>
      </c>
      <c r="K12" s="59">
        <v>7</v>
      </c>
    </row>
    <row r="13" spans="1:11" ht="15.75" customHeight="1" x14ac:dyDescent="0.2">
      <c r="A13" s="63" t="s">
        <v>178</v>
      </c>
      <c r="B13" s="64" t="s">
        <v>179</v>
      </c>
      <c r="C13" s="65">
        <v>151604.95000000001</v>
      </c>
      <c r="D13" s="65">
        <v>127986.26</v>
      </c>
      <c r="E13" s="65">
        <f t="shared" si="0"/>
        <v>23618.690000000017</v>
      </c>
      <c r="F13" s="66">
        <f t="shared" si="1"/>
        <v>0.15579102133538525</v>
      </c>
      <c r="G13" s="65">
        <v>34376.11</v>
      </c>
      <c r="H13" s="65">
        <v>-999.91999999999098</v>
      </c>
      <c r="I13" s="65">
        <v>-6735.0600000000104</v>
      </c>
      <c r="J13" s="65">
        <v>-3022.44</v>
      </c>
      <c r="K13" s="63">
        <v>8</v>
      </c>
    </row>
    <row r="14" spans="1:11" ht="15.75" customHeight="1" x14ac:dyDescent="0.2">
      <c r="A14" s="59" t="s">
        <v>180</v>
      </c>
      <c r="B14" s="60" t="s">
        <v>181</v>
      </c>
      <c r="C14" s="61">
        <v>17273</v>
      </c>
      <c r="D14" s="61">
        <v>1063.45</v>
      </c>
      <c r="E14" s="61">
        <f t="shared" si="0"/>
        <v>16209.55</v>
      </c>
      <c r="F14" s="62">
        <f t="shared" si="1"/>
        <v>0.93843281421872282</v>
      </c>
      <c r="G14" s="61">
        <v>4090.19</v>
      </c>
      <c r="H14" s="61">
        <v>4186.18</v>
      </c>
      <c r="I14" s="61">
        <v>3923.97</v>
      </c>
      <c r="J14" s="61">
        <v>4009.21</v>
      </c>
      <c r="K14" s="59">
        <v>9</v>
      </c>
    </row>
    <row r="15" spans="1:11" ht="15.75" customHeight="1" x14ac:dyDescent="0.2">
      <c r="A15" s="63" t="s">
        <v>182</v>
      </c>
      <c r="B15" s="64" t="s">
        <v>183</v>
      </c>
      <c r="C15" s="65">
        <v>12506.96</v>
      </c>
      <c r="D15" s="65">
        <v>0</v>
      </c>
      <c r="E15" s="65">
        <f t="shared" si="0"/>
        <v>12506.96</v>
      </c>
      <c r="F15" s="66">
        <f t="shared" si="1"/>
        <v>1</v>
      </c>
      <c r="G15" s="65">
        <v>7670.58</v>
      </c>
      <c r="H15" s="65">
        <v>0</v>
      </c>
      <c r="I15" s="65">
        <v>247.1</v>
      </c>
      <c r="J15" s="65">
        <v>4589.28</v>
      </c>
      <c r="K15" s="63">
        <v>10</v>
      </c>
    </row>
    <row r="16" spans="1:11" ht="15.75" customHeight="1" x14ac:dyDescent="0.2">
      <c r="A16" s="59" t="s">
        <v>184</v>
      </c>
      <c r="B16" s="60" t="s">
        <v>185</v>
      </c>
      <c r="C16" s="61">
        <v>11732.68</v>
      </c>
      <c r="D16" s="61">
        <v>0</v>
      </c>
      <c r="E16" s="61">
        <f t="shared" si="0"/>
        <v>11732.68</v>
      </c>
      <c r="F16" s="62">
        <f t="shared" si="1"/>
        <v>1</v>
      </c>
      <c r="G16" s="61">
        <v>100</v>
      </c>
      <c r="H16" s="61">
        <v>0</v>
      </c>
      <c r="I16" s="61">
        <v>2200</v>
      </c>
      <c r="J16" s="61">
        <v>9432.68</v>
      </c>
      <c r="K16" s="59">
        <v>11</v>
      </c>
    </row>
    <row r="17" spans="1:11" ht="15.75" customHeight="1" x14ac:dyDescent="0.2">
      <c r="A17" s="63" t="s">
        <v>186</v>
      </c>
      <c r="B17" s="64" t="s">
        <v>187</v>
      </c>
      <c r="C17" s="65">
        <v>11166.68</v>
      </c>
      <c r="D17" s="65">
        <v>0</v>
      </c>
      <c r="E17" s="65">
        <f t="shared" si="0"/>
        <v>11166.68</v>
      </c>
      <c r="F17" s="66">
        <f t="shared" si="1"/>
        <v>1</v>
      </c>
      <c r="G17" s="65">
        <v>2791.67</v>
      </c>
      <c r="H17" s="65">
        <v>2791.67</v>
      </c>
      <c r="I17" s="65">
        <v>2791.67</v>
      </c>
      <c r="J17" s="65">
        <v>2791.67</v>
      </c>
      <c r="K17" s="63">
        <v>12</v>
      </c>
    </row>
    <row r="18" spans="1:11" ht="15.75" customHeight="1" x14ac:dyDescent="0.2">
      <c r="A18" s="59" t="s">
        <v>188</v>
      </c>
      <c r="B18" s="60" t="s">
        <v>189</v>
      </c>
      <c r="C18" s="61">
        <v>6750</v>
      </c>
      <c r="D18" s="61">
        <v>0</v>
      </c>
      <c r="E18" s="61">
        <f t="shared" si="0"/>
        <v>6750</v>
      </c>
      <c r="F18" s="62">
        <f t="shared" si="1"/>
        <v>1</v>
      </c>
      <c r="G18" s="61">
        <v>0</v>
      </c>
      <c r="H18" s="61">
        <v>0</v>
      </c>
      <c r="I18" s="61">
        <v>6750</v>
      </c>
      <c r="J18" s="61">
        <v>0</v>
      </c>
      <c r="K18" s="59">
        <v>13</v>
      </c>
    </row>
    <row r="19" spans="1:11" ht="15.75" customHeight="1" x14ac:dyDescent="0.2">
      <c r="A19" s="63" t="s">
        <v>190</v>
      </c>
      <c r="B19" s="64" t="s">
        <v>191</v>
      </c>
      <c r="C19" s="65">
        <v>5737.29</v>
      </c>
      <c r="D19" s="65">
        <v>0</v>
      </c>
      <c r="E19" s="65">
        <f t="shared" si="0"/>
        <v>5737.29</v>
      </c>
      <c r="F19" s="66">
        <f t="shared" si="1"/>
        <v>1</v>
      </c>
      <c r="G19" s="65">
        <v>2070.2199999999998</v>
      </c>
      <c r="H19" s="65">
        <v>550</v>
      </c>
      <c r="I19" s="65">
        <v>1500</v>
      </c>
      <c r="J19" s="65">
        <v>1617.07</v>
      </c>
      <c r="K19" s="63">
        <v>14</v>
      </c>
    </row>
    <row r="20" spans="1:11" ht="15.75" customHeight="1" x14ac:dyDescent="0.2">
      <c r="A20" s="59" t="s">
        <v>192</v>
      </c>
      <c r="B20" s="60" t="s">
        <v>193</v>
      </c>
      <c r="C20" s="61">
        <v>3000</v>
      </c>
      <c r="D20" s="61">
        <v>0</v>
      </c>
      <c r="E20" s="61">
        <f t="shared" si="0"/>
        <v>3000</v>
      </c>
      <c r="F20" s="62">
        <f t="shared" si="1"/>
        <v>1</v>
      </c>
      <c r="G20" s="61">
        <v>3000</v>
      </c>
      <c r="H20" s="61">
        <v>0</v>
      </c>
      <c r="I20" s="61">
        <v>0</v>
      </c>
      <c r="J20" s="61">
        <v>0</v>
      </c>
      <c r="K20" s="59">
        <v>15</v>
      </c>
    </row>
    <row r="21" spans="1:11" ht="15.75" customHeight="1" x14ac:dyDescent="0.2">
      <c r="A21" s="63" t="s">
        <v>194</v>
      </c>
      <c r="B21" s="64" t="s">
        <v>195</v>
      </c>
      <c r="C21" s="65">
        <v>1788.39</v>
      </c>
      <c r="D21" s="65">
        <v>399.92</v>
      </c>
      <c r="E21" s="65">
        <f t="shared" si="0"/>
        <v>1388.47</v>
      </c>
      <c r="F21" s="66">
        <f t="shared" si="1"/>
        <v>0.77637987239919704</v>
      </c>
      <c r="G21" s="65">
        <v>0</v>
      </c>
      <c r="H21" s="65">
        <v>0</v>
      </c>
      <c r="I21" s="65">
        <v>0</v>
      </c>
      <c r="J21" s="65">
        <v>1388.47</v>
      </c>
      <c r="K21" s="63">
        <v>16</v>
      </c>
    </row>
    <row r="22" spans="1:11" ht="15.75" customHeight="1" x14ac:dyDescent="0.2">
      <c r="A22" s="59" t="s">
        <v>196</v>
      </c>
      <c r="B22" s="60" t="s">
        <v>197</v>
      </c>
      <c r="C22" s="61">
        <v>1125</v>
      </c>
      <c r="D22" s="61">
        <v>0</v>
      </c>
      <c r="E22" s="61">
        <f t="shared" si="0"/>
        <v>1125</v>
      </c>
      <c r="F22" s="62">
        <f t="shared" si="1"/>
        <v>1</v>
      </c>
      <c r="G22" s="61">
        <v>0</v>
      </c>
      <c r="H22" s="61">
        <v>0</v>
      </c>
      <c r="I22" s="61">
        <v>650</v>
      </c>
      <c r="J22" s="61">
        <v>475</v>
      </c>
      <c r="K22" s="59">
        <v>17</v>
      </c>
    </row>
    <row r="23" spans="1:11" ht="15.75" customHeight="1" x14ac:dyDescent="0.2">
      <c r="A23" s="63" t="s">
        <v>198</v>
      </c>
      <c r="B23" s="64" t="s">
        <v>199</v>
      </c>
      <c r="C23" s="65">
        <v>1000</v>
      </c>
      <c r="D23" s="65">
        <v>0</v>
      </c>
      <c r="E23" s="65">
        <f t="shared" si="0"/>
        <v>1000</v>
      </c>
      <c r="F23" s="66">
        <f t="shared" si="1"/>
        <v>1</v>
      </c>
      <c r="G23" s="65">
        <v>1000</v>
      </c>
      <c r="H23" s="65">
        <v>0</v>
      </c>
      <c r="I23" s="65">
        <v>0</v>
      </c>
      <c r="J23" s="65">
        <v>0</v>
      </c>
      <c r="K23" s="63">
        <v>18</v>
      </c>
    </row>
    <row r="24" spans="1:11" ht="15.75" customHeight="1" x14ac:dyDescent="0.2">
      <c r="A24" s="59" t="s">
        <v>200</v>
      </c>
      <c r="B24" s="60" t="s">
        <v>201</v>
      </c>
      <c r="C24" s="61">
        <v>1000</v>
      </c>
      <c r="D24" s="61">
        <v>0</v>
      </c>
      <c r="E24" s="61">
        <f t="shared" si="0"/>
        <v>1000</v>
      </c>
      <c r="F24" s="62">
        <f t="shared" si="1"/>
        <v>1</v>
      </c>
      <c r="G24" s="61">
        <v>1000</v>
      </c>
      <c r="H24" s="61">
        <v>0</v>
      </c>
      <c r="I24" s="61">
        <v>0</v>
      </c>
      <c r="J24" s="61">
        <v>0</v>
      </c>
      <c r="K24" s="59">
        <v>19</v>
      </c>
    </row>
    <row r="25" spans="1:11" ht="15.75" customHeight="1" x14ac:dyDescent="0.2">
      <c r="A25" s="63" t="s">
        <v>202</v>
      </c>
      <c r="B25" s="64" t="s">
        <v>203</v>
      </c>
      <c r="C25" s="65">
        <v>1224</v>
      </c>
      <c r="D25" s="65">
        <v>697.92</v>
      </c>
      <c r="E25" s="65">
        <f t="shared" si="0"/>
        <v>526.08000000000004</v>
      </c>
      <c r="F25" s="66">
        <f t="shared" si="1"/>
        <v>0.42980392156862751</v>
      </c>
      <c r="G25" s="65">
        <v>0</v>
      </c>
      <c r="H25" s="65">
        <v>0</v>
      </c>
      <c r="I25" s="65">
        <v>-508.47</v>
      </c>
      <c r="J25" s="65">
        <v>1034.55</v>
      </c>
      <c r="K25" s="63">
        <v>20</v>
      </c>
    </row>
    <row r="26" spans="1:11" ht="15.75" customHeight="1" x14ac:dyDescent="0.2">
      <c r="A26" s="59" t="s">
        <v>204</v>
      </c>
      <c r="B26" s="60" t="s">
        <v>205</v>
      </c>
      <c r="C26" s="61">
        <v>100</v>
      </c>
      <c r="D26" s="61">
        <v>0</v>
      </c>
      <c r="E26" s="61">
        <f t="shared" si="0"/>
        <v>100</v>
      </c>
      <c r="F26" s="62">
        <f t="shared" si="1"/>
        <v>1</v>
      </c>
      <c r="G26" s="61">
        <v>100</v>
      </c>
      <c r="H26" s="61">
        <v>0</v>
      </c>
      <c r="I26" s="61">
        <v>0</v>
      </c>
      <c r="J26" s="61">
        <v>0</v>
      </c>
      <c r="K26" s="59">
        <v>21</v>
      </c>
    </row>
    <row r="27" spans="1:11" ht="15.75" customHeight="1" x14ac:dyDescent="0.2">
      <c r="A27" s="63" t="s">
        <v>206</v>
      </c>
      <c r="B27" s="64" t="s">
        <v>207</v>
      </c>
      <c r="C27" s="65">
        <v>25</v>
      </c>
      <c r="D27" s="65">
        <v>0</v>
      </c>
      <c r="E27" s="65">
        <f t="shared" si="0"/>
        <v>25</v>
      </c>
      <c r="F27" s="66">
        <f t="shared" si="1"/>
        <v>1</v>
      </c>
      <c r="G27" s="65">
        <v>0</v>
      </c>
      <c r="H27" s="65">
        <v>0</v>
      </c>
      <c r="I27" s="65">
        <v>25</v>
      </c>
      <c r="J27" s="65">
        <v>0</v>
      </c>
      <c r="K27" s="63">
        <v>22</v>
      </c>
    </row>
    <row r="28" spans="1:11" ht="15.75" customHeight="1" x14ac:dyDescent="0.2">
      <c r="A28" s="59" t="s">
        <v>208</v>
      </c>
      <c r="B28" s="60" t="s">
        <v>209</v>
      </c>
      <c r="C28" s="61">
        <v>0</v>
      </c>
      <c r="D28" s="61">
        <v>0</v>
      </c>
      <c r="E28" s="61">
        <f t="shared" si="0"/>
        <v>0</v>
      </c>
      <c r="F28" s="62">
        <f t="shared" si="1"/>
        <v>0</v>
      </c>
      <c r="G28" s="61">
        <v>0</v>
      </c>
      <c r="H28" s="61">
        <v>0</v>
      </c>
      <c r="I28" s="61">
        <v>0</v>
      </c>
      <c r="J28" s="61">
        <v>0</v>
      </c>
      <c r="K28" s="59">
        <v>23</v>
      </c>
    </row>
    <row r="29" spans="1:11" ht="15.75" customHeight="1" x14ac:dyDescent="0.2">
      <c r="A29" s="63" t="s">
        <v>210</v>
      </c>
      <c r="B29" s="64" t="s">
        <v>211</v>
      </c>
      <c r="C29" s="65">
        <v>0</v>
      </c>
      <c r="D29" s="65">
        <v>0</v>
      </c>
      <c r="E29" s="65">
        <f t="shared" si="0"/>
        <v>0</v>
      </c>
      <c r="F29" s="66">
        <f t="shared" si="1"/>
        <v>0</v>
      </c>
      <c r="G29" s="65">
        <v>0</v>
      </c>
      <c r="H29" s="65">
        <v>0</v>
      </c>
      <c r="I29" s="65">
        <v>0</v>
      </c>
      <c r="J29" s="65">
        <v>0</v>
      </c>
      <c r="K29" s="63">
        <v>24</v>
      </c>
    </row>
    <row r="30" spans="1:11" ht="15.75" customHeight="1" x14ac:dyDescent="0.2">
      <c r="A30" s="59" t="s">
        <v>212</v>
      </c>
      <c r="B30" s="60" t="s">
        <v>213</v>
      </c>
      <c r="C30" s="61">
        <v>0</v>
      </c>
      <c r="D30" s="61">
        <v>0</v>
      </c>
      <c r="E30" s="61">
        <f t="shared" si="0"/>
        <v>0</v>
      </c>
      <c r="F30" s="62">
        <f t="shared" si="1"/>
        <v>0</v>
      </c>
      <c r="G30" s="61">
        <v>0</v>
      </c>
      <c r="H30" s="61">
        <v>0</v>
      </c>
      <c r="I30" s="61">
        <v>0</v>
      </c>
      <c r="J30" s="61">
        <v>0</v>
      </c>
      <c r="K30" s="59">
        <v>25</v>
      </c>
    </row>
    <row r="31" spans="1:11" ht="15.75" customHeight="1" x14ac:dyDescent="0.2">
      <c r="A31" s="63" t="s">
        <v>214</v>
      </c>
      <c r="B31" s="64" t="s">
        <v>215</v>
      </c>
      <c r="C31" s="65">
        <v>0</v>
      </c>
      <c r="D31" s="65">
        <v>0</v>
      </c>
      <c r="E31" s="65">
        <f t="shared" si="0"/>
        <v>0</v>
      </c>
      <c r="F31" s="66">
        <f t="shared" si="1"/>
        <v>0</v>
      </c>
      <c r="G31" s="65">
        <v>0</v>
      </c>
      <c r="H31" s="65">
        <v>0</v>
      </c>
      <c r="I31" s="65">
        <v>0</v>
      </c>
      <c r="J31" s="65">
        <v>0</v>
      </c>
      <c r="K31" s="63">
        <v>26</v>
      </c>
    </row>
    <row r="32" spans="1:11" ht="15.75" customHeight="1" x14ac:dyDescent="0.2">
      <c r="A32" s="59" t="s">
        <v>216</v>
      </c>
      <c r="B32" s="60" t="s">
        <v>217</v>
      </c>
      <c r="C32" s="61">
        <v>0</v>
      </c>
      <c r="D32" s="61">
        <v>0</v>
      </c>
      <c r="E32" s="61">
        <f t="shared" si="0"/>
        <v>0</v>
      </c>
      <c r="F32" s="62">
        <f t="shared" si="1"/>
        <v>0</v>
      </c>
      <c r="G32" s="61">
        <v>0</v>
      </c>
      <c r="H32" s="61">
        <v>0</v>
      </c>
      <c r="I32" s="61">
        <v>0</v>
      </c>
      <c r="J32" s="61">
        <v>0</v>
      </c>
      <c r="K32" s="59">
        <v>27</v>
      </c>
    </row>
    <row r="33" spans="1:11" ht="15.75" customHeight="1" x14ac:dyDescent="0.2">
      <c r="A33" s="63" t="s">
        <v>218</v>
      </c>
      <c r="B33" s="64" t="s">
        <v>219</v>
      </c>
      <c r="C33" s="65">
        <v>0</v>
      </c>
      <c r="D33" s="65">
        <v>0</v>
      </c>
      <c r="E33" s="65">
        <f t="shared" si="0"/>
        <v>0</v>
      </c>
      <c r="F33" s="66">
        <f t="shared" si="1"/>
        <v>0</v>
      </c>
      <c r="G33" s="65">
        <v>0</v>
      </c>
      <c r="H33" s="65">
        <v>0</v>
      </c>
      <c r="I33" s="65">
        <v>0</v>
      </c>
      <c r="J33" s="65">
        <v>0</v>
      </c>
      <c r="K33" s="63">
        <v>28</v>
      </c>
    </row>
    <row r="34" spans="1:11" ht="15.75" customHeight="1" x14ac:dyDescent="0.2">
      <c r="A34" s="59" t="s">
        <v>220</v>
      </c>
      <c r="B34" s="60" t="s">
        <v>221</v>
      </c>
      <c r="C34" s="61">
        <v>0</v>
      </c>
      <c r="D34" s="61">
        <v>0</v>
      </c>
      <c r="E34" s="61">
        <f t="shared" si="0"/>
        <v>0</v>
      </c>
      <c r="F34" s="62">
        <f t="shared" si="1"/>
        <v>0</v>
      </c>
      <c r="G34" s="61">
        <v>0</v>
      </c>
      <c r="H34" s="61">
        <v>0</v>
      </c>
      <c r="I34" s="61">
        <v>0</v>
      </c>
      <c r="J34" s="61">
        <v>0</v>
      </c>
      <c r="K34" s="59">
        <v>29</v>
      </c>
    </row>
    <row r="35" spans="1:11" ht="15.75" customHeight="1" x14ac:dyDescent="0.2">
      <c r="A35" s="63" t="s">
        <v>222</v>
      </c>
      <c r="B35" s="64" t="s">
        <v>223</v>
      </c>
      <c r="C35" s="65">
        <v>0</v>
      </c>
      <c r="D35" s="65">
        <v>0</v>
      </c>
      <c r="E35" s="65">
        <f t="shared" si="0"/>
        <v>0</v>
      </c>
      <c r="F35" s="66">
        <f t="shared" si="1"/>
        <v>0</v>
      </c>
      <c r="G35" s="65">
        <v>0</v>
      </c>
      <c r="H35" s="65">
        <v>0</v>
      </c>
      <c r="I35" s="65">
        <v>0</v>
      </c>
      <c r="J35" s="65">
        <v>0</v>
      </c>
      <c r="K35" s="63">
        <v>30</v>
      </c>
    </row>
    <row r="36" spans="1:11" ht="15.75" customHeight="1" x14ac:dyDescent="0.2">
      <c r="A36" s="59" t="s">
        <v>224</v>
      </c>
      <c r="B36" s="60" t="s">
        <v>225</v>
      </c>
      <c r="C36" s="61">
        <v>0</v>
      </c>
      <c r="D36" s="61">
        <v>0</v>
      </c>
      <c r="E36" s="61">
        <f t="shared" si="0"/>
        <v>0</v>
      </c>
      <c r="F36" s="62">
        <f t="shared" si="1"/>
        <v>0</v>
      </c>
      <c r="G36" s="61">
        <v>0</v>
      </c>
      <c r="H36" s="61">
        <v>0</v>
      </c>
      <c r="I36" s="61">
        <v>0</v>
      </c>
      <c r="J36" s="61">
        <v>0</v>
      </c>
      <c r="K36" s="59">
        <v>31</v>
      </c>
    </row>
    <row r="37" spans="1:11" ht="15.75" customHeight="1" x14ac:dyDescent="0.2">
      <c r="A37" s="63" t="s">
        <v>226</v>
      </c>
      <c r="B37" s="64" t="s">
        <v>227</v>
      </c>
      <c r="C37" s="65">
        <v>0</v>
      </c>
      <c r="D37" s="65">
        <v>0</v>
      </c>
      <c r="E37" s="65">
        <f t="shared" si="0"/>
        <v>0</v>
      </c>
      <c r="F37" s="66">
        <f t="shared" si="1"/>
        <v>0</v>
      </c>
      <c r="G37" s="65">
        <v>0</v>
      </c>
      <c r="H37" s="65">
        <v>0</v>
      </c>
      <c r="I37" s="65">
        <v>0</v>
      </c>
      <c r="J37" s="65">
        <v>0</v>
      </c>
      <c r="K37" s="63">
        <v>32</v>
      </c>
    </row>
    <row r="38" spans="1:11" ht="15.75" customHeight="1" x14ac:dyDescent="0.2">
      <c r="A38" s="59" t="s">
        <v>228</v>
      </c>
      <c r="B38" s="60" t="s">
        <v>229</v>
      </c>
      <c r="C38" s="61">
        <v>0</v>
      </c>
      <c r="D38" s="61">
        <v>0</v>
      </c>
      <c r="E38" s="61">
        <f t="shared" ref="E38:E69" si="2">C38-D38</f>
        <v>0</v>
      </c>
      <c r="F38" s="62">
        <f t="shared" ref="F38:F69" si="3">IFERROR(E38/C38,IF(D38&gt;0,-1,0))</f>
        <v>0</v>
      </c>
      <c r="G38" s="61">
        <v>0</v>
      </c>
      <c r="H38" s="61">
        <v>0</v>
      </c>
      <c r="I38" s="61">
        <v>0</v>
      </c>
      <c r="J38" s="61">
        <v>0</v>
      </c>
      <c r="K38" s="59">
        <v>33</v>
      </c>
    </row>
    <row r="39" spans="1:11" ht="15.75" customHeight="1" x14ac:dyDescent="0.2">
      <c r="A39" s="63" t="s">
        <v>230</v>
      </c>
      <c r="B39" s="64" t="s">
        <v>231</v>
      </c>
      <c r="C39" s="65">
        <v>0</v>
      </c>
      <c r="D39" s="65">
        <v>0</v>
      </c>
      <c r="E39" s="65">
        <f t="shared" si="2"/>
        <v>0</v>
      </c>
      <c r="F39" s="66">
        <f t="shared" si="3"/>
        <v>0</v>
      </c>
      <c r="G39" s="65">
        <v>0</v>
      </c>
      <c r="H39" s="65">
        <v>0</v>
      </c>
      <c r="I39" s="65">
        <v>0</v>
      </c>
      <c r="J39" s="65">
        <v>0</v>
      </c>
      <c r="K39" s="63">
        <v>34</v>
      </c>
    </row>
    <row r="40" spans="1:11" ht="15.75" customHeight="1" x14ac:dyDescent="0.2">
      <c r="A40" s="59" t="s">
        <v>232</v>
      </c>
      <c r="B40" s="60" t="s">
        <v>233</v>
      </c>
      <c r="C40" s="61">
        <v>0</v>
      </c>
      <c r="D40" s="61">
        <v>0</v>
      </c>
      <c r="E40" s="61">
        <f t="shared" si="2"/>
        <v>0</v>
      </c>
      <c r="F40" s="62">
        <f t="shared" si="3"/>
        <v>0</v>
      </c>
      <c r="G40" s="61">
        <v>0</v>
      </c>
      <c r="H40" s="61">
        <v>0</v>
      </c>
      <c r="I40" s="61">
        <v>0</v>
      </c>
      <c r="J40" s="61">
        <v>0</v>
      </c>
      <c r="K40" s="59">
        <v>35</v>
      </c>
    </row>
    <row r="41" spans="1:11" ht="15.75" customHeight="1" x14ac:dyDescent="0.2">
      <c r="A41" s="63" t="s">
        <v>234</v>
      </c>
      <c r="B41" s="64" t="s">
        <v>235</v>
      </c>
      <c r="C41" s="65">
        <v>0</v>
      </c>
      <c r="D41" s="65">
        <v>0</v>
      </c>
      <c r="E41" s="65">
        <f t="shared" si="2"/>
        <v>0</v>
      </c>
      <c r="F41" s="66">
        <f t="shared" si="3"/>
        <v>0</v>
      </c>
      <c r="G41" s="65">
        <v>0</v>
      </c>
      <c r="H41" s="65">
        <v>0</v>
      </c>
      <c r="I41" s="65">
        <v>0</v>
      </c>
      <c r="J41" s="65">
        <v>0</v>
      </c>
      <c r="K41" s="63">
        <v>36</v>
      </c>
    </row>
    <row r="42" spans="1:11" ht="15.75" customHeight="1" x14ac:dyDescent="0.2">
      <c r="A42" s="59" t="s">
        <v>236</v>
      </c>
      <c r="B42" s="60" t="s">
        <v>237</v>
      </c>
      <c r="C42" s="61">
        <v>0</v>
      </c>
      <c r="D42" s="61">
        <v>0</v>
      </c>
      <c r="E42" s="61">
        <f t="shared" si="2"/>
        <v>0</v>
      </c>
      <c r="F42" s="62">
        <f t="shared" si="3"/>
        <v>0</v>
      </c>
      <c r="G42" s="61">
        <v>0</v>
      </c>
      <c r="H42" s="61">
        <v>0</v>
      </c>
      <c r="I42" s="61">
        <v>0</v>
      </c>
      <c r="J42" s="61">
        <v>0</v>
      </c>
      <c r="K42" s="59">
        <v>37</v>
      </c>
    </row>
    <row r="43" spans="1:11" ht="15.75" customHeight="1" x14ac:dyDescent="0.2">
      <c r="A43" s="63" t="s">
        <v>238</v>
      </c>
      <c r="B43" s="64" t="s">
        <v>239</v>
      </c>
      <c r="C43" s="65">
        <v>0</v>
      </c>
      <c r="D43" s="65">
        <v>0</v>
      </c>
      <c r="E43" s="65">
        <f t="shared" si="2"/>
        <v>0</v>
      </c>
      <c r="F43" s="66">
        <f t="shared" si="3"/>
        <v>0</v>
      </c>
      <c r="G43" s="65">
        <v>0</v>
      </c>
      <c r="H43" s="65">
        <v>0</v>
      </c>
      <c r="I43" s="65">
        <v>0</v>
      </c>
      <c r="J43" s="65">
        <v>0</v>
      </c>
      <c r="K43" s="63">
        <v>38</v>
      </c>
    </row>
    <row r="44" spans="1:11" ht="15.75" customHeight="1" x14ac:dyDescent="0.2">
      <c r="A44" s="59" t="s">
        <v>240</v>
      </c>
      <c r="B44" s="60" t="s">
        <v>241</v>
      </c>
      <c r="C44" s="61">
        <v>0</v>
      </c>
      <c r="D44" s="61">
        <v>0</v>
      </c>
      <c r="E44" s="61">
        <f t="shared" si="2"/>
        <v>0</v>
      </c>
      <c r="F44" s="62">
        <f t="shared" si="3"/>
        <v>0</v>
      </c>
      <c r="G44" s="61">
        <v>0</v>
      </c>
      <c r="H44" s="61">
        <v>0</v>
      </c>
      <c r="I44" s="61">
        <v>0</v>
      </c>
      <c r="J44" s="61">
        <v>0</v>
      </c>
      <c r="K44" s="59">
        <v>39</v>
      </c>
    </row>
    <row r="45" spans="1:11" ht="15.75" customHeight="1" x14ac:dyDescent="0.2">
      <c r="A45" s="63" t="s">
        <v>242</v>
      </c>
      <c r="B45" s="64" t="s">
        <v>243</v>
      </c>
      <c r="C45" s="65">
        <v>0</v>
      </c>
      <c r="D45" s="65">
        <v>0</v>
      </c>
      <c r="E45" s="65">
        <f t="shared" si="2"/>
        <v>0</v>
      </c>
      <c r="F45" s="66">
        <f t="shared" si="3"/>
        <v>0</v>
      </c>
      <c r="G45" s="65">
        <v>0</v>
      </c>
      <c r="H45" s="65">
        <v>0</v>
      </c>
      <c r="I45" s="65">
        <v>0</v>
      </c>
      <c r="J45" s="65">
        <v>0</v>
      </c>
      <c r="K45" s="63">
        <v>40</v>
      </c>
    </row>
    <row r="46" spans="1:11" ht="15.75" customHeight="1" x14ac:dyDescent="0.2">
      <c r="A46" s="59" t="s">
        <v>244</v>
      </c>
      <c r="B46" s="60" t="s">
        <v>245</v>
      </c>
      <c r="C46" s="61">
        <v>0</v>
      </c>
      <c r="D46" s="61">
        <v>0</v>
      </c>
      <c r="E46" s="61">
        <f t="shared" si="2"/>
        <v>0</v>
      </c>
      <c r="F46" s="62">
        <f t="shared" si="3"/>
        <v>0</v>
      </c>
      <c r="G46" s="61">
        <v>0</v>
      </c>
      <c r="H46" s="61">
        <v>0</v>
      </c>
      <c r="I46" s="61">
        <v>0</v>
      </c>
      <c r="J46" s="61">
        <v>0</v>
      </c>
      <c r="K46" s="59">
        <v>41</v>
      </c>
    </row>
    <row r="47" spans="1:11" ht="15.75" customHeight="1" x14ac:dyDescent="0.2">
      <c r="A47" s="63" t="s">
        <v>246</v>
      </c>
      <c r="B47" s="64" t="s">
        <v>247</v>
      </c>
      <c r="C47" s="65">
        <v>0</v>
      </c>
      <c r="D47" s="65">
        <v>0</v>
      </c>
      <c r="E47" s="65">
        <f t="shared" si="2"/>
        <v>0</v>
      </c>
      <c r="F47" s="66">
        <f t="shared" si="3"/>
        <v>0</v>
      </c>
      <c r="G47" s="65">
        <v>0</v>
      </c>
      <c r="H47" s="65">
        <v>0</v>
      </c>
      <c r="I47" s="65">
        <v>0</v>
      </c>
      <c r="J47" s="65">
        <v>0</v>
      </c>
      <c r="K47" s="63">
        <v>42</v>
      </c>
    </row>
    <row r="48" spans="1:11" ht="15.75" customHeight="1" x14ac:dyDescent="0.2">
      <c r="A48" s="59" t="s">
        <v>248</v>
      </c>
      <c r="B48" s="60" t="s">
        <v>249</v>
      </c>
      <c r="C48" s="61">
        <v>0</v>
      </c>
      <c r="D48" s="61">
        <v>0</v>
      </c>
      <c r="E48" s="61">
        <f t="shared" si="2"/>
        <v>0</v>
      </c>
      <c r="F48" s="62">
        <f t="shared" si="3"/>
        <v>0</v>
      </c>
      <c r="G48" s="61">
        <v>0</v>
      </c>
      <c r="H48" s="61">
        <v>0</v>
      </c>
      <c r="I48" s="61">
        <v>0</v>
      </c>
      <c r="J48" s="61">
        <v>0</v>
      </c>
      <c r="K48" s="59">
        <v>43</v>
      </c>
    </row>
    <row r="49" spans="1:11" ht="15.75" customHeight="1" x14ac:dyDescent="0.2">
      <c r="A49" s="63" t="s">
        <v>250</v>
      </c>
      <c r="B49" s="64" t="s">
        <v>251</v>
      </c>
      <c r="C49" s="65">
        <v>0</v>
      </c>
      <c r="D49" s="65">
        <v>0</v>
      </c>
      <c r="E49" s="65">
        <f t="shared" si="2"/>
        <v>0</v>
      </c>
      <c r="F49" s="66">
        <f t="shared" si="3"/>
        <v>0</v>
      </c>
      <c r="G49" s="65">
        <v>0</v>
      </c>
      <c r="H49" s="65">
        <v>0</v>
      </c>
      <c r="I49" s="65">
        <v>0</v>
      </c>
      <c r="J49" s="65">
        <v>0</v>
      </c>
      <c r="K49" s="63">
        <v>44</v>
      </c>
    </row>
    <row r="50" spans="1:11" ht="15.75" customHeight="1" x14ac:dyDescent="0.2">
      <c r="A50" s="59" t="s">
        <v>252</v>
      </c>
      <c r="B50" s="60" t="s">
        <v>253</v>
      </c>
      <c r="C50" s="61">
        <v>0</v>
      </c>
      <c r="D50" s="61">
        <v>0</v>
      </c>
      <c r="E50" s="61">
        <f t="shared" si="2"/>
        <v>0</v>
      </c>
      <c r="F50" s="62">
        <f t="shared" si="3"/>
        <v>0</v>
      </c>
      <c r="G50" s="61">
        <v>0</v>
      </c>
      <c r="H50" s="61">
        <v>0</v>
      </c>
      <c r="I50" s="61">
        <v>0</v>
      </c>
      <c r="J50" s="61">
        <v>0</v>
      </c>
      <c r="K50" s="59">
        <v>45</v>
      </c>
    </row>
    <row r="51" spans="1:11" ht="15.75" customHeight="1" x14ac:dyDescent="0.2">
      <c r="A51" s="63" t="s">
        <v>254</v>
      </c>
      <c r="B51" s="64" t="s">
        <v>255</v>
      </c>
      <c r="C51" s="65">
        <v>0</v>
      </c>
      <c r="D51" s="65">
        <v>0</v>
      </c>
      <c r="E51" s="65">
        <f t="shared" si="2"/>
        <v>0</v>
      </c>
      <c r="F51" s="66">
        <f t="shared" si="3"/>
        <v>0</v>
      </c>
      <c r="G51" s="65">
        <v>0</v>
      </c>
      <c r="H51" s="65">
        <v>0</v>
      </c>
      <c r="I51" s="65">
        <v>0</v>
      </c>
      <c r="J51" s="65">
        <v>0</v>
      </c>
      <c r="K51" s="63">
        <v>46</v>
      </c>
    </row>
    <row r="52" spans="1:11" ht="15.75" customHeight="1" x14ac:dyDescent="0.2">
      <c r="A52" s="59" t="s">
        <v>256</v>
      </c>
      <c r="B52" s="60" t="s">
        <v>257</v>
      </c>
      <c r="C52" s="61">
        <v>0</v>
      </c>
      <c r="D52" s="61">
        <v>0</v>
      </c>
      <c r="E52" s="61">
        <f t="shared" si="2"/>
        <v>0</v>
      </c>
      <c r="F52" s="62">
        <f t="shared" si="3"/>
        <v>0</v>
      </c>
      <c r="G52" s="61">
        <v>0</v>
      </c>
      <c r="H52" s="61">
        <v>0</v>
      </c>
      <c r="I52" s="61">
        <v>0</v>
      </c>
      <c r="J52" s="61">
        <v>0</v>
      </c>
      <c r="K52" s="59">
        <v>47</v>
      </c>
    </row>
    <row r="53" spans="1:11" ht="15.75" customHeight="1" x14ac:dyDescent="0.2">
      <c r="A53" s="63" t="s">
        <v>258</v>
      </c>
      <c r="B53" s="64" t="s">
        <v>259</v>
      </c>
      <c r="C53" s="65">
        <v>0</v>
      </c>
      <c r="D53" s="65">
        <v>0</v>
      </c>
      <c r="E53" s="65">
        <f t="shared" si="2"/>
        <v>0</v>
      </c>
      <c r="F53" s="66">
        <f t="shared" si="3"/>
        <v>0</v>
      </c>
      <c r="G53" s="65">
        <v>0</v>
      </c>
      <c r="H53" s="65">
        <v>0</v>
      </c>
      <c r="I53" s="65">
        <v>0</v>
      </c>
      <c r="J53" s="65">
        <v>0</v>
      </c>
      <c r="K53" s="63">
        <v>48</v>
      </c>
    </row>
    <row r="54" spans="1:11" ht="15.75" customHeight="1" x14ac:dyDescent="0.2">
      <c r="A54" s="59" t="s">
        <v>260</v>
      </c>
      <c r="B54" s="60" t="s">
        <v>261</v>
      </c>
      <c r="C54" s="61">
        <v>0</v>
      </c>
      <c r="D54" s="61">
        <v>0</v>
      </c>
      <c r="E54" s="61">
        <f t="shared" si="2"/>
        <v>0</v>
      </c>
      <c r="F54" s="62">
        <f t="shared" si="3"/>
        <v>0</v>
      </c>
      <c r="G54" s="61">
        <v>0</v>
      </c>
      <c r="H54" s="61">
        <v>0</v>
      </c>
      <c r="I54" s="61">
        <v>0</v>
      </c>
      <c r="J54" s="61">
        <v>0</v>
      </c>
      <c r="K54" s="59">
        <v>49</v>
      </c>
    </row>
    <row r="55" spans="1:11" ht="15.75" customHeight="1" x14ac:dyDescent="0.2">
      <c r="A55" s="63" t="s">
        <v>262</v>
      </c>
      <c r="B55" s="64" t="s">
        <v>263</v>
      </c>
      <c r="C55" s="65">
        <v>0</v>
      </c>
      <c r="D55" s="65">
        <v>0</v>
      </c>
      <c r="E55" s="65">
        <f t="shared" si="2"/>
        <v>0</v>
      </c>
      <c r="F55" s="66">
        <f t="shared" si="3"/>
        <v>0</v>
      </c>
      <c r="G55" s="65">
        <v>0</v>
      </c>
      <c r="H55" s="65">
        <v>0</v>
      </c>
      <c r="I55" s="65">
        <v>0</v>
      </c>
      <c r="J55" s="65">
        <v>0</v>
      </c>
      <c r="K55" s="63">
        <v>50</v>
      </c>
    </row>
    <row r="56" spans="1:11" ht="15.75" customHeight="1" x14ac:dyDescent="0.2">
      <c r="A56" s="59" t="s">
        <v>264</v>
      </c>
      <c r="B56" s="60" t="s">
        <v>265</v>
      </c>
      <c r="C56" s="61">
        <v>0</v>
      </c>
      <c r="D56" s="61">
        <v>0</v>
      </c>
      <c r="E56" s="61">
        <f t="shared" si="2"/>
        <v>0</v>
      </c>
      <c r="F56" s="62">
        <f t="shared" si="3"/>
        <v>0</v>
      </c>
      <c r="G56" s="61">
        <v>0</v>
      </c>
      <c r="H56" s="61">
        <v>0</v>
      </c>
      <c r="I56" s="61">
        <v>0</v>
      </c>
      <c r="J56" s="61">
        <v>0</v>
      </c>
      <c r="K56" s="59">
        <v>51</v>
      </c>
    </row>
    <row r="57" spans="1:11" ht="15.75" customHeight="1" x14ac:dyDescent="0.2">
      <c r="A57" s="63" t="s">
        <v>266</v>
      </c>
      <c r="B57" s="64" t="s">
        <v>267</v>
      </c>
      <c r="C57" s="65">
        <v>0</v>
      </c>
      <c r="D57" s="65">
        <v>0</v>
      </c>
      <c r="E57" s="65">
        <f t="shared" si="2"/>
        <v>0</v>
      </c>
      <c r="F57" s="66">
        <f t="shared" si="3"/>
        <v>0</v>
      </c>
      <c r="G57" s="65">
        <v>0</v>
      </c>
      <c r="H57" s="65">
        <v>0</v>
      </c>
      <c r="I57" s="65">
        <v>0</v>
      </c>
      <c r="J57" s="65">
        <v>0</v>
      </c>
      <c r="K57" s="63">
        <v>52</v>
      </c>
    </row>
    <row r="58" spans="1:11" ht="15.75" customHeight="1" x14ac:dyDescent="0.2">
      <c r="A58" s="59" t="s">
        <v>268</v>
      </c>
      <c r="B58" s="60" t="s">
        <v>269</v>
      </c>
      <c r="C58" s="61">
        <v>0</v>
      </c>
      <c r="D58" s="61">
        <v>0</v>
      </c>
      <c r="E58" s="61">
        <f t="shared" si="2"/>
        <v>0</v>
      </c>
      <c r="F58" s="62">
        <f t="shared" si="3"/>
        <v>0</v>
      </c>
      <c r="G58" s="61">
        <v>0</v>
      </c>
      <c r="H58" s="61">
        <v>0</v>
      </c>
      <c r="I58" s="61">
        <v>0</v>
      </c>
      <c r="J58" s="61">
        <v>0</v>
      </c>
      <c r="K58" s="59">
        <v>53</v>
      </c>
    </row>
    <row r="59" spans="1:11" ht="15.75" customHeight="1" x14ac:dyDescent="0.2">
      <c r="A59" s="63" t="s">
        <v>270</v>
      </c>
      <c r="B59" s="64" t="s">
        <v>271</v>
      </c>
      <c r="C59" s="65">
        <v>0</v>
      </c>
      <c r="D59" s="65">
        <v>0</v>
      </c>
      <c r="E59" s="65">
        <f t="shared" si="2"/>
        <v>0</v>
      </c>
      <c r="F59" s="66">
        <f t="shared" si="3"/>
        <v>0</v>
      </c>
      <c r="G59" s="65">
        <v>0</v>
      </c>
      <c r="H59" s="65">
        <v>0</v>
      </c>
      <c r="I59" s="65">
        <v>0</v>
      </c>
      <c r="J59" s="65">
        <v>0</v>
      </c>
      <c r="K59" s="63">
        <v>54</v>
      </c>
    </row>
    <row r="60" spans="1:11" ht="15.75" customHeight="1" x14ac:dyDescent="0.2">
      <c r="A60" s="59" t="s">
        <v>272</v>
      </c>
      <c r="B60" s="60" t="s">
        <v>273</v>
      </c>
      <c r="C60" s="61">
        <v>0</v>
      </c>
      <c r="D60" s="61">
        <v>67.63</v>
      </c>
      <c r="E60" s="61">
        <f t="shared" si="2"/>
        <v>-67.63</v>
      </c>
      <c r="F60" s="62">
        <f t="shared" si="3"/>
        <v>-1</v>
      </c>
      <c r="G60" s="61">
        <v>-36.130000000000003</v>
      </c>
      <c r="H60" s="61">
        <v>-31.5</v>
      </c>
      <c r="I60" s="61">
        <v>0</v>
      </c>
      <c r="J60" s="61">
        <v>0</v>
      </c>
      <c r="K60" s="59">
        <v>55</v>
      </c>
    </row>
    <row r="61" spans="1:11" ht="15.75" customHeight="1" x14ac:dyDescent="0.2">
      <c r="A61" s="63" t="s">
        <v>274</v>
      </c>
      <c r="B61" s="64" t="s">
        <v>275</v>
      </c>
      <c r="C61" s="65">
        <v>0</v>
      </c>
      <c r="D61" s="65">
        <v>105</v>
      </c>
      <c r="E61" s="65">
        <f t="shared" si="2"/>
        <v>-105</v>
      </c>
      <c r="F61" s="66">
        <f t="shared" si="3"/>
        <v>-1</v>
      </c>
      <c r="G61" s="65">
        <v>0</v>
      </c>
      <c r="H61" s="65">
        <v>0</v>
      </c>
      <c r="I61" s="65">
        <v>0</v>
      </c>
      <c r="J61" s="65">
        <v>-105</v>
      </c>
      <c r="K61" s="63">
        <v>56</v>
      </c>
    </row>
    <row r="62" spans="1:11" ht="15.75" customHeight="1" x14ac:dyDescent="0.2">
      <c r="A62" s="59" t="s">
        <v>276</v>
      </c>
      <c r="B62" s="60" t="s">
        <v>277</v>
      </c>
      <c r="C62" s="61">
        <v>0</v>
      </c>
      <c r="D62" s="61">
        <v>106.85</v>
      </c>
      <c r="E62" s="61">
        <f t="shared" si="2"/>
        <v>-106.85</v>
      </c>
      <c r="F62" s="62">
        <f t="shared" si="3"/>
        <v>-1</v>
      </c>
      <c r="G62" s="61">
        <v>-106.85</v>
      </c>
      <c r="H62" s="61">
        <v>0</v>
      </c>
      <c r="I62" s="61">
        <v>0</v>
      </c>
      <c r="J62" s="61">
        <v>0</v>
      </c>
      <c r="K62" s="59">
        <v>57</v>
      </c>
    </row>
    <row r="63" spans="1:11" ht="15.75" customHeight="1" x14ac:dyDescent="0.2">
      <c r="A63" s="63" t="s">
        <v>278</v>
      </c>
      <c r="B63" s="64" t="s">
        <v>279</v>
      </c>
      <c r="C63" s="65">
        <v>0</v>
      </c>
      <c r="D63" s="65">
        <v>121.8</v>
      </c>
      <c r="E63" s="65">
        <f t="shared" si="2"/>
        <v>-121.8</v>
      </c>
      <c r="F63" s="66">
        <f t="shared" si="3"/>
        <v>-1</v>
      </c>
      <c r="G63" s="65">
        <v>0</v>
      </c>
      <c r="H63" s="65">
        <v>0</v>
      </c>
      <c r="I63" s="65">
        <v>-40</v>
      </c>
      <c r="J63" s="65">
        <v>-81.8</v>
      </c>
      <c r="K63" s="63">
        <v>58</v>
      </c>
    </row>
    <row r="64" spans="1:11" ht="15.75" customHeight="1" x14ac:dyDescent="0.2">
      <c r="A64" s="59" t="s">
        <v>280</v>
      </c>
      <c r="B64" s="60" t="s">
        <v>281</v>
      </c>
      <c r="C64" s="61">
        <v>752</v>
      </c>
      <c r="D64" s="61">
        <v>904.97</v>
      </c>
      <c r="E64" s="61">
        <f t="shared" si="2"/>
        <v>-152.97000000000003</v>
      </c>
      <c r="F64" s="62">
        <f t="shared" si="3"/>
        <v>-0.20341755319148941</v>
      </c>
      <c r="G64" s="61">
        <v>-449.26</v>
      </c>
      <c r="H64" s="61">
        <v>524.27</v>
      </c>
      <c r="I64" s="61">
        <v>-227.98</v>
      </c>
      <c r="J64" s="61">
        <v>0</v>
      </c>
      <c r="K64" s="59">
        <v>59</v>
      </c>
    </row>
    <row r="65" spans="1:11" ht="15.75" customHeight="1" x14ac:dyDescent="0.2">
      <c r="A65" s="63" t="s">
        <v>282</v>
      </c>
      <c r="B65" s="64" t="s">
        <v>283</v>
      </c>
      <c r="C65" s="65">
        <v>0</v>
      </c>
      <c r="D65" s="65">
        <v>190.52</v>
      </c>
      <c r="E65" s="65">
        <f t="shared" si="2"/>
        <v>-190.52</v>
      </c>
      <c r="F65" s="66">
        <f t="shared" si="3"/>
        <v>-1</v>
      </c>
      <c r="G65" s="65">
        <v>0</v>
      </c>
      <c r="H65" s="65">
        <v>0</v>
      </c>
      <c r="I65" s="65">
        <v>-96.03</v>
      </c>
      <c r="J65" s="65">
        <v>-94.49</v>
      </c>
      <c r="K65" s="63">
        <v>60</v>
      </c>
    </row>
    <row r="66" spans="1:11" ht="15.75" customHeight="1" x14ac:dyDescent="0.2">
      <c r="A66" s="59" t="s">
        <v>284</v>
      </c>
      <c r="B66" s="60" t="s">
        <v>285</v>
      </c>
      <c r="C66" s="61">
        <v>0</v>
      </c>
      <c r="D66" s="61">
        <v>385.29</v>
      </c>
      <c r="E66" s="61">
        <f t="shared" si="2"/>
        <v>-385.29</v>
      </c>
      <c r="F66" s="62">
        <f t="shared" si="3"/>
        <v>-1</v>
      </c>
      <c r="G66" s="61">
        <v>-385.29</v>
      </c>
      <c r="H66" s="61">
        <v>0</v>
      </c>
      <c r="I66" s="61">
        <v>0</v>
      </c>
      <c r="J66" s="61">
        <v>0</v>
      </c>
      <c r="K66" s="59">
        <v>61</v>
      </c>
    </row>
    <row r="67" spans="1:11" ht="15.75" customHeight="1" x14ac:dyDescent="0.2">
      <c r="A67" s="63" t="s">
        <v>286</v>
      </c>
      <c r="B67" s="64" t="s">
        <v>287</v>
      </c>
      <c r="C67" s="65">
        <v>0</v>
      </c>
      <c r="D67" s="65">
        <v>3372.75</v>
      </c>
      <c r="E67" s="65">
        <f t="shared" si="2"/>
        <v>-3372.75</v>
      </c>
      <c r="F67" s="66">
        <f t="shared" si="3"/>
        <v>-1</v>
      </c>
      <c r="G67" s="65">
        <v>-1124.25</v>
      </c>
      <c r="H67" s="65">
        <v>0</v>
      </c>
      <c r="I67" s="65">
        <v>-1124.25</v>
      </c>
      <c r="J67" s="65">
        <v>-1124.25</v>
      </c>
      <c r="K67" s="63">
        <v>62</v>
      </c>
    </row>
    <row r="68" spans="1:11" ht="15.75" customHeight="1" x14ac:dyDescent="0.2">
      <c r="A68" s="59" t="s">
        <v>288</v>
      </c>
      <c r="B68" s="60" t="s">
        <v>289</v>
      </c>
      <c r="C68" s="61">
        <v>15307.31</v>
      </c>
      <c r="D68" s="61">
        <v>19874</v>
      </c>
      <c r="E68" s="61">
        <f t="shared" si="2"/>
        <v>-4566.6900000000005</v>
      </c>
      <c r="F68" s="62">
        <f t="shared" si="3"/>
        <v>-0.29833393326456448</v>
      </c>
      <c r="G68" s="61">
        <v>790.73</v>
      </c>
      <c r="H68" s="61">
        <v>-5815.75</v>
      </c>
      <c r="I68" s="61">
        <v>3220.45</v>
      </c>
      <c r="J68" s="61">
        <v>-2762.12</v>
      </c>
      <c r="K68" s="59">
        <v>63</v>
      </c>
    </row>
    <row r="69" spans="1:11" ht="15.75" customHeight="1" x14ac:dyDescent="0.2">
      <c r="A69" s="63" t="s">
        <v>290</v>
      </c>
      <c r="B69" s="64" t="s">
        <v>291</v>
      </c>
      <c r="C69" s="65">
        <v>21962.7</v>
      </c>
      <c r="D69" s="65">
        <v>27552.68</v>
      </c>
      <c r="E69" s="65">
        <f t="shared" si="2"/>
        <v>-5589.98</v>
      </c>
      <c r="F69" s="66">
        <f t="shared" si="3"/>
        <v>-0.25452152968441949</v>
      </c>
      <c r="G69" s="65">
        <v>-2307.75</v>
      </c>
      <c r="H69" s="65">
        <v>-7421.64</v>
      </c>
      <c r="I69" s="65">
        <v>-5003.97</v>
      </c>
      <c r="J69" s="65">
        <v>9143.3799999999992</v>
      </c>
      <c r="K69" s="63">
        <v>64</v>
      </c>
    </row>
    <row r="70" spans="1:11" ht="15.75" customHeight="1" x14ac:dyDescent="0.2">
      <c r="A70" s="59" t="s">
        <v>292</v>
      </c>
      <c r="B70" s="60" t="s">
        <v>293</v>
      </c>
      <c r="C70" s="61">
        <v>0</v>
      </c>
      <c r="D70" s="61">
        <v>7526.28</v>
      </c>
      <c r="E70" s="61">
        <f t="shared" ref="E70:E101" si="4">C70-D70</f>
        <v>-7526.28</v>
      </c>
      <c r="F70" s="62">
        <f t="shared" ref="F70:F101" si="5">IFERROR(E70/C70,IF(D70&gt;0,-1,0))</f>
        <v>-1</v>
      </c>
      <c r="G70" s="61">
        <v>0</v>
      </c>
      <c r="H70" s="61">
        <v>-2237.2800000000002</v>
      </c>
      <c r="I70" s="61">
        <v>-2689.86</v>
      </c>
      <c r="J70" s="61">
        <v>-2599.14</v>
      </c>
      <c r="K70" s="59">
        <v>65</v>
      </c>
    </row>
    <row r="71" spans="1:11" ht="15.75" customHeight="1" x14ac:dyDescent="0.2">
      <c r="A71" s="63" t="s">
        <v>294</v>
      </c>
      <c r="B71" s="64" t="s">
        <v>295</v>
      </c>
      <c r="C71" s="65">
        <v>12574.41</v>
      </c>
      <c r="D71" s="65">
        <v>20707.71</v>
      </c>
      <c r="E71" s="65">
        <f t="shared" si="4"/>
        <v>-8133.2999999999993</v>
      </c>
      <c r="F71" s="66">
        <f t="shared" si="5"/>
        <v>-0.64681364771786509</v>
      </c>
      <c r="G71" s="65">
        <v>-3247.5</v>
      </c>
      <c r="H71" s="65">
        <v>-4350.3</v>
      </c>
      <c r="I71" s="65">
        <v>-6552.26</v>
      </c>
      <c r="J71" s="65">
        <v>6016.76</v>
      </c>
      <c r="K71" s="63">
        <v>66</v>
      </c>
    </row>
    <row r="72" spans="1:11" ht="15.75" customHeight="1" x14ac:dyDescent="0.2">
      <c r="A72" s="59" t="s">
        <v>296</v>
      </c>
      <c r="B72" s="60" t="s">
        <v>297</v>
      </c>
      <c r="C72" s="61">
        <v>21362.97</v>
      </c>
      <c r="D72" s="61">
        <v>30118.93</v>
      </c>
      <c r="E72" s="61">
        <f t="shared" si="4"/>
        <v>-8755.9599999999991</v>
      </c>
      <c r="F72" s="62">
        <f t="shared" si="5"/>
        <v>-0.40986623114669912</v>
      </c>
      <c r="G72" s="61">
        <v>-7131.29</v>
      </c>
      <c r="H72" s="61">
        <v>-10769.17</v>
      </c>
      <c r="I72" s="61">
        <v>12918.42</v>
      </c>
      <c r="J72" s="61">
        <v>-3773.92</v>
      </c>
      <c r="K72" s="59">
        <v>67</v>
      </c>
    </row>
    <row r="73" spans="1:11" ht="15.75" customHeight="1" x14ac:dyDescent="0.2">
      <c r="A73" s="63" t="s">
        <v>298</v>
      </c>
      <c r="B73" s="64" t="s">
        <v>299</v>
      </c>
      <c r="C73" s="65">
        <v>9998.51</v>
      </c>
      <c r="D73" s="65">
        <v>19928.400000000001</v>
      </c>
      <c r="E73" s="65">
        <f t="shared" si="4"/>
        <v>-9929.8900000000012</v>
      </c>
      <c r="F73" s="66">
        <f t="shared" si="5"/>
        <v>-0.99313697740963414</v>
      </c>
      <c r="G73" s="65">
        <v>-4895.6499999999996</v>
      </c>
      <c r="H73" s="65">
        <v>-5026.3</v>
      </c>
      <c r="I73" s="65">
        <v>-3.97000000000026</v>
      </c>
      <c r="J73" s="65">
        <v>-3.97000000000026</v>
      </c>
      <c r="K73" s="63">
        <v>68</v>
      </c>
    </row>
    <row r="74" spans="1:11" ht="15.75" customHeight="1" x14ac:dyDescent="0.2">
      <c r="A74" s="59" t="s">
        <v>300</v>
      </c>
      <c r="B74" s="60" t="s">
        <v>301</v>
      </c>
      <c r="C74" s="61">
        <v>0</v>
      </c>
      <c r="D74" s="61">
        <v>10735.14</v>
      </c>
      <c r="E74" s="61">
        <f t="shared" si="4"/>
        <v>-10735.14</v>
      </c>
      <c r="F74" s="62">
        <f t="shared" si="5"/>
        <v>-1</v>
      </c>
      <c r="G74" s="61">
        <v>-2000</v>
      </c>
      <c r="H74" s="61">
        <v>-4000</v>
      </c>
      <c r="I74" s="61">
        <v>-4159.6099999999997</v>
      </c>
      <c r="J74" s="61">
        <v>-575.53</v>
      </c>
      <c r="K74" s="59">
        <v>69</v>
      </c>
    </row>
    <row r="75" spans="1:11" ht="15.75" customHeight="1" x14ac:dyDescent="0.2">
      <c r="A75" s="63" t="s">
        <v>302</v>
      </c>
      <c r="B75" s="64" t="s">
        <v>303</v>
      </c>
      <c r="C75" s="65">
        <v>1121588.05</v>
      </c>
      <c r="D75" s="65">
        <v>1153160.3500000001</v>
      </c>
      <c r="E75" s="65">
        <f t="shared" si="4"/>
        <v>-31572.300000000047</v>
      </c>
      <c r="F75" s="66">
        <f t="shared" si="5"/>
        <v>-2.8149640146397821E-2</v>
      </c>
      <c r="G75" s="65">
        <v>-8466.6700000000092</v>
      </c>
      <c r="H75" s="65">
        <v>-8328.0799999999908</v>
      </c>
      <c r="I75" s="65">
        <v>-8956.5200000000204</v>
      </c>
      <c r="J75" s="65">
        <v>-5821.0300000000298</v>
      </c>
      <c r="K75" s="63">
        <v>70</v>
      </c>
    </row>
    <row r="76" spans="1:11" ht="15.75" customHeight="1" x14ac:dyDescent="0.2">
      <c r="A76" s="59" t="s">
        <v>304</v>
      </c>
      <c r="B76" s="60" t="s">
        <v>305</v>
      </c>
      <c r="C76" s="61">
        <v>0</v>
      </c>
      <c r="D76" s="61">
        <v>47204.93</v>
      </c>
      <c r="E76" s="61">
        <f t="shared" si="4"/>
        <v>-47204.93</v>
      </c>
      <c r="F76" s="62">
        <f t="shared" si="5"/>
        <v>-1</v>
      </c>
      <c r="G76" s="61">
        <v>-33158.339999999997</v>
      </c>
      <c r="H76" s="61">
        <v>-5228.6400000000003</v>
      </c>
      <c r="I76" s="61">
        <v>-4439.42</v>
      </c>
      <c r="J76" s="61">
        <v>-4378.53</v>
      </c>
      <c r="K76" s="59">
        <v>71</v>
      </c>
    </row>
    <row r="77" spans="1:11" ht="15.75" customHeight="1" x14ac:dyDescent="0.2">
      <c r="A77" s="63" t="s">
        <v>306</v>
      </c>
      <c r="B77" s="64" t="s">
        <v>307</v>
      </c>
      <c r="C77" s="65">
        <v>0</v>
      </c>
      <c r="D77" s="65">
        <v>52509.98</v>
      </c>
      <c r="E77" s="65">
        <f t="shared" si="4"/>
        <v>-52509.98</v>
      </c>
      <c r="F77" s="66">
        <f t="shared" si="5"/>
        <v>-1</v>
      </c>
      <c r="G77" s="65">
        <v>-10625.51</v>
      </c>
      <c r="H77" s="65">
        <v>-11270.74</v>
      </c>
      <c r="I77" s="65">
        <v>-15600.25</v>
      </c>
      <c r="J77" s="65">
        <v>-15013.48</v>
      </c>
      <c r="K77" s="63">
        <v>72</v>
      </c>
    </row>
    <row r="78" spans="1:11" ht="15.75" customHeight="1" x14ac:dyDescent="0.2">
      <c r="A78" s="59" t="s">
        <v>308</v>
      </c>
      <c r="B78" s="60" t="s">
        <v>309</v>
      </c>
      <c r="C78" s="61">
        <v>122689.63</v>
      </c>
      <c r="D78" s="61">
        <v>356640.62</v>
      </c>
      <c r="E78" s="61">
        <f t="shared" si="4"/>
        <v>-233950.99</v>
      </c>
      <c r="F78" s="62">
        <f t="shared" si="5"/>
        <v>-1.9068521928055369</v>
      </c>
      <c r="G78" s="61">
        <v>-91734.63</v>
      </c>
      <c r="H78" s="61">
        <v>9894.9299999999894</v>
      </c>
      <c r="I78" s="61">
        <v>-62271.61</v>
      </c>
      <c r="J78" s="61">
        <v>-89839.679999999993</v>
      </c>
      <c r="K78" s="59">
        <v>73</v>
      </c>
    </row>
    <row r="79" spans="1:11" ht="21.75" customHeight="1" x14ac:dyDescent="0.2">
      <c r="A79" s="67"/>
      <c r="B79" s="15" t="s">
        <v>310</v>
      </c>
      <c r="C79" s="47">
        <f>SUM(C6:C78)</f>
        <v>1831396.9900000002</v>
      </c>
      <c r="D79" s="47">
        <f>SUM(D6:D78)</f>
        <v>1891414.2200000002</v>
      </c>
      <c r="E79" s="47">
        <f>SUM(E6:E78)</f>
        <v>-60017.230000000069</v>
      </c>
      <c r="F79" s="48">
        <f>IFERROR(E79/C79,0)</f>
        <v>-3.2771283521657452E-2</v>
      </c>
      <c r="G79" s="47">
        <f>SUM(G6:G78)</f>
        <v>54501.27999999997</v>
      </c>
      <c r="H79" s="47">
        <f>SUM(H6:H78)</f>
        <v>-45188.759999999995</v>
      </c>
      <c r="I79" s="47">
        <f>SUM(I6:I78)</f>
        <v>-43563.070000000043</v>
      </c>
      <c r="J79" s="47">
        <f>SUM(J6:J78)</f>
        <v>-25766.680000000022</v>
      </c>
      <c r="K79" s="67"/>
    </row>
  </sheetData>
  <mergeCells count="2">
    <mergeCell ref="A1:K1"/>
    <mergeCell ref="A4:K4"/>
  </mergeCells>
  <conditionalFormatting sqref="E6:E78">
    <cfRule type="colorScale" priority="2">
      <colorScale>
        <cfvo type="min"/>
        <cfvo type="num" val="0"/>
        <cfvo type="max"/>
        <color rgb="FFF8D7DA"/>
        <color rgb="FFFFFFFF"/>
        <color rgb="FFD4EDDA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showGridLines="0" zoomScaleNormal="100" workbookViewId="0">
      <selection sqref="A1:G1"/>
    </sheetView>
  </sheetViews>
  <sheetFormatPr baseColWidth="10" defaultColWidth="8.6640625" defaultRowHeight="15" x14ac:dyDescent="0.2"/>
  <cols>
    <col min="1" max="7" width="18" customWidth="1"/>
  </cols>
  <sheetData>
    <row r="1" spans="1:7" ht="31.5" customHeight="1" x14ac:dyDescent="0.2">
      <c r="A1" s="112" t="s">
        <v>311</v>
      </c>
      <c r="B1" s="112"/>
      <c r="C1" s="112"/>
      <c r="D1" s="112"/>
      <c r="E1" s="112"/>
      <c r="F1" s="112"/>
      <c r="G1" s="112"/>
    </row>
    <row r="2" spans="1:7" ht="7.5" customHeight="1" x14ac:dyDescent="0.2"/>
    <row r="3" spans="1:7" ht="21.75" customHeight="1" x14ac:dyDescent="0.2">
      <c r="A3" s="8" t="s">
        <v>312</v>
      </c>
      <c r="B3" s="8"/>
      <c r="C3" s="8"/>
      <c r="D3" s="8"/>
      <c r="E3" s="8"/>
      <c r="F3" s="8"/>
      <c r="G3" s="8"/>
    </row>
    <row r="4" spans="1:7" ht="21.75" customHeight="1" x14ac:dyDescent="0.2">
      <c r="A4" s="42" t="s">
        <v>53</v>
      </c>
      <c r="B4" s="42" t="s">
        <v>49</v>
      </c>
      <c r="C4" s="42" t="s">
        <v>50</v>
      </c>
      <c r="D4" s="42" t="s">
        <v>51</v>
      </c>
      <c r="E4" s="42" t="s">
        <v>313</v>
      </c>
      <c r="F4" s="42" t="s">
        <v>314</v>
      </c>
      <c r="G4" s="42" t="s">
        <v>315</v>
      </c>
    </row>
    <row r="5" spans="1:7" ht="19.5" customHeight="1" x14ac:dyDescent="0.2">
      <c r="A5" s="27" t="s">
        <v>316</v>
      </c>
      <c r="B5" s="68">
        <v>493453.89</v>
      </c>
      <c r="C5" s="68">
        <v>438952.61</v>
      </c>
      <c r="D5" s="68">
        <f>B5-C5</f>
        <v>54501.280000000028</v>
      </c>
      <c r="E5" s="68">
        <v>107789.52</v>
      </c>
      <c r="F5" s="68">
        <f>D5-E5</f>
        <v>-53288.239999999976</v>
      </c>
      <c r="G5" s="68">
        <f>D5</f>
        <v>54501.280000000028</v>
      </c>
    </row>
    <row r="6" spans="1:7" ht="19.5" customHeight="1" x14ac:dyDescent="0.2">
      <c r="A6" s="28" t="s">
        <v>317</v>
      </c>
      <c r="B6" s="69">
        <v>411401.94</v>
      </c>
      <c r="C6" s="69">
        <v>456590.7</v>
      </c>
      <c r="D6" s="69">
        <f>B6-C6</f>
        <v>-45188.760000000009</v>
      </c>
      <c r="E6" s="69">
        <v>-169800.99</v>
      </c>
      <c r="F6" s="69">
        <f>D6-E6</f>
        <v>124612.22999999998</v>
      </c>
      <c r="G6" s="69">
        <f>G5+D6</f>
        <v>9312.5200000000186</v>
      </c>
    </row>
    <row r="7" spans="1:7" ht="19.5" customHeight="1" x14ac:dyDescent="0.2">
      <c r="A7" s="27" t="s">
        <v>318</v>
      </c>
      <c r="B7" s="68">
        <v>484329.85</v>
      </c>
      <c r="C7" s="68">
        <v>527892.92000000004</v>
      </c>
      <c r="D7" s="68">
        <f>B7-C7</f>
        <v>-43563.070000000065</v>
      </c>
      <c r="E7" s="68">
        <v>-157426.37</v>
      </c>
      <c r="F7" s="68">
        <f>D7-E7</f>
        <v>113863.29999999993</v>
      </c>
      <c r="G7" s="68">
        <f>G6+D7</f>
        <v>-34250.550000000047</v>
      </c>
    </row>
    <row r="8" spans="1:7" ht="19.5" customHeight="1" x14ac:dyDescent="0.2">
      <c r="A8" s="28" t="s">
        <v>319</v>
      </c>
      <c r="B8" s="69">
        <v>442211.31</v>
      </c>
      <c r="C8" s="69">
        <v>467977.99</v>
      </c>
      <c r="D8" s="69">
        <f>B8-C8</f>
        <v>-25766.679999999993</v>
      </c>
      <c r="E8" s="69">
        <v>-97601.390000000101</v>
      </c>
      <c r="F8" s="69">
        <f>D8-E8</f>
        <v>71834.710000000108</v>
      </c>
      <c r="G8" s="69">
        <f>G7+D8</f>
        <v>-60017.23000000004</v>
      </c>
    </row>
    <row r="9" spans="1:7" ht="21.75" customHeight="1" x14ac:dyDescent="0.2">
      <c r="A9" s="34" t="s">
        <v>320</v>
      </c>
      <c r="B9" s="35">
        <f>SUM(B5:B8)</f>
        <v>1831396.9900000002</v>
      </c>
      <c r="C9" s="35">
        <f>SUM(C5:C8)</f>
        <v>1891414.22</v>
      </c>
      <c r="D9" s="35">
        <f>SUM(D5:D8)</f>
        <v>-60017.23000000004</v>
      </c>
      <c r="E9" s="35">
        <f>SUM(E5:E8)</f>
        <v>-317039.2300000001</v>
      </c>
      <c r="F9" s="35">
        <f>SUM(F5:F8)</f>
        <v>257022.00000000003</v>
      </c>
      <c r="G9" s="35">
        <f>G8</f>
        <v>-60017.23000000004</v>
      </c>
    </row>
  </sheetData>
  <mergeCells count="2">
    <mergeCell ref="A1:G1"/>
    <mergeCell ref="A3:G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1"/>
  <sheetViews>
    <sheetView showGridLines="0" zoomScaleNormal="100" workbookViewId="0">
      <selection sqref="A1:C1"/>
    </sheetView>
  </sheetViews>
  <sheetFormatPr baseColWidth="10" defaultColWidth="8.6640625" defaultRowHeight="15" x14ac:dyDescent="0.2"/>
  <cols>
    <col min="1" max="1" width="14" customWidth="1"/>
    <col min="2" max="2" width="38" customWidth="1"/>
    <col min="3" max="3" width="18" customWidth="1"/>
  </cols>
  <sheetData>
    <row r="1" spans="1:3" ht="31.5" customHeight="1" x14ac:dyDescent="0.2">
      <c r="A1" s="112" t="s">
        <v>321</v>
      </c>
      <c r="B1" s="112"/>
      <c r="C1" s="112"/>
    </row>
    <row r="2" spans="1:3" ht="7.5" customHeight="1" x14ac:dyDescent="0.2"/>
    <row r="3" spans="1:3" ht="21.75" customHeight="1" x14ac:dyDescent="0.2">
      <c r="A3" s="8" t="s">
        <v>322</v>
      </c>
      <c r="B3" s="8"/>
      <c r="C3" s="8"/>
    </row>
    <row r="4" spans="1:3" ht="18" customHeight="1" x14ac:dyDescent="0.2">
      <c r="A4" s="70" t="s">
        <v>323</v>
      </c>
      <c r="B4" s="71" t="s">
        <v>324</v>
      </c>
      <c r="C4" s="72">
        <v>64099.42</v>
      </c>
    </row>
    <row r="5" spans="1:3" ht="18" customHeight="1" x14ac:dyDescent="0.2">
      <c r="A5" s="73" t="s">
        <v>325</v>
      </c>
      <c r="B5" s="74" t="s">
        <v>326</v>
      </c>
      <c r="C5" s="75">
        <v>924193.43</v>
      </c>
    </row>
    <row r="6" spans="1:3" ht="18" customHeight="1" x14ac:dyDescent="0.2">
      <c r="A6" s="70" t="s">
        <v>327</v>
      </c>
      <c r="B6" s="71" t="s">
        <v>328</v>
      </c>
      <c r="C6" s="72">
        <v>21130</v>
      </c>
    </row>
    <row r="7" spans="1:3" ht="18" customHeight="1" x14ac:dyDescent="0.2">
      <c r="A7" s="73" t="s">
        <v>329</v>
      </c>
      <c r="B7" s="74" t="s">
        <v>330</v>
      </c>
      <c r="C7" s="75">
        <v>139117.26999999999</v>
      </c>
    </row>
    <row r="8" spans="1:3" ht="18" customHeight="1" x14ac:dyDescent="0.2">
      <c r="A8" s="70" t="s">
        <v>331</v>
      </c>
      <c r="B8" s="71" t="s">
        <v>332</v>
      </c>
      <c r="C8" s="72">
        <v>475</v>
      </c>
    </row>
    <row r="9" spans="1:3" ht="18" customHeight="1" x14ac:dyDescent="0.2">
      <c r="A9" s="73" t="s">
        <v>333</v>
      </c>
      <c r="B9" s="74" t="s">
        <v>334</v>
      </c>
      <c r="C9" s="75">
        <v>0</v>
      </c>
    </row>
    <row r="10" spans="1:3" ht="18" customHeight="1" x14ac:dyDescent="0.2">
      <c r="A10" s="70" t="s">
        <v>335</v>
      </c>
      <c r="B10" s="71" t="s">
        <v>336</v>
      </c>
      <c r="C10" s="72">
        <v>48129.599999999999</v>
      </c>
    </row>
    <row r="11" spans="1:3" ht="18" customHeight="1" x14ac:dyDescent="0.2">
      <c r="A11" s="73" t="s">
        <v>337</v>
      </c>
      <c r="B11" s="74" t="s">
        <v>338</v>
      </c>
      <c r="C11" s="75">
        <v>0</v>
      </c>
    </row>
    <row r="12" spans="1:3" ht="18" customHeight="1" x14ac:dyDescent="0.2">
      <c r="A12" s="70" t="s">
        <v>339</v>
      </c>
      <c r="B12" s="71" t="s">
        <v>340</v>
      </c>
      <c r="C12" s="72">
        <v>0</v>
      </c>
    </row>
    <row r="13" spans="1:3" ht="18" customHeight="1" x14ac:dyDescent="0.2">
      <c r="A13" s="73" t="s">
        <v>341</v>
      </c>
      <c r="B13" s="74" t="s">
        <v>342</v>
      </c>
      <c r="C13" s="75">
        <v>0</v>
      </c>
    </row>
    <row r="14" spans="1:3" ht="18" customHeight="1" x14ac:dyDescent="0.2">
      <c r="A14" s="70" t="s">
        <v>343</v>
      </c>
      <c r="B14" s="71" t="s">
        <v>344</v>
      </c>
      <c r="C14" s="72">
        <v>110047.94</v>
      </c>
    </row>
    <row r="15" spans="1:3" ht="18" customHeight="1" x14ac:dyDescent="0.2">
      <c r="A15" s="73" t="s">
        <v>345</v>
      </c>
      <c r="B15" s="74" t="s">
        <v>346</v>
      </c>
      <c r="C15" s="75">
        <v>563734.06999999995</v>
      </c>
    </row>
    <row r="16" spans="1:3" ht="18" customHeight="1" x14ac:dyDescent="0.2">
      <c r="A16" s="70" t="s">
        <v>347</v>
      </c>
      <c r="B16" s="71" t="s">
        <v>348</v>
      </c>
      <c r="C16" s="72">
        <v>80162.5</v>
      </c>
    </row>
    <row r="17" spans="1:3" ht="18" customHeight="1" x14ac:dyDescent="0.2">
      <c r="A17" s="73" t="s">
        <v>349</v>
      </c>
      <c r="B17" s="74" t="s">
        <v>350</v>
      </c>
      <c r="C17" s="75">
        <v>3866976.2</v>
      </c>
    </row>
    <row r="18" spans="1:3" ht="18" customHeight="1" x14ac:dyDescent="0.2">
      <c r="A18" s="70" t="s">
        <v>351</v>
      </c>
      <c r="B18" s="71" t="s">
        <v>352</v>
      </c>
      <c r="C18" s="72">
        <v>2544614.66</v>
      </c>
    </row>
    <row r="19" spans="1:3" ht="18" customHeight="1" x14ac:dyDescent="0.2">
      <c r="A19" s="73" t="s">
        <v>353</v>
      </c>
      <c r="B19" s="74" t="s">
        <v>354</v>
      </c>
      <c r="C19" s="75">
        <v>-328859.37</v>
      </c>
    </row>
    <row r="20" spans="1:3" ht="18" customHeight="1" x14ac:dyDescent="0.2">
      <c r="A20" s="70" t="s">
        <v>355</v>
      </c>
      <c r="B20" s="71" t="s">
        <v>356</v>
      </c>
      <c r="C20" s="72">
        <v>-50576.17</v>
      </c>
    </row>
    <row r="21" spans="1:3" ht="18" customHeight="1" x14ac:dyDescent="0.2">
      <c r="A21" s="73" t="s">
        <v>357</v>
      </c>
      <c r="B21" s="74" t="s">
        <v>358</v>
      </c>
      <c r="C21" s="75">
        <v>-1694720.96</v>
      </c>
    </row>
    <row r="22" spans="1:3" ht="18" customHeight="1" x14ac:dyDescent="0.2">
      <c r="A22" s="70" t="s">
        <v>359</v>
      </c>
      <c r="B22" s="71" t="s">
        <v>360</v>
      </c>
      <c r="C22" s="72">
        <v>-1695656</v>
      </c>
    </row>
    <row r="23" spans="1:3" ht="18" customHeight="1" x14ac:dyDescent="0.2">
      <c r="A23" s="73" t="s">
        <v>361</v>
      </c>
      <c r="B23" s="74" t="s">
        <v>362</v>
      </c>
      <c r="C23" s="75">
        <v>0</v>
      </c>
    </row>
    <row r="24" spans="1:3" ht="18" customHeight="1" x14ac:dyDescent="0.2">
      <c r="A24" s="70" t="s">
        <v>363</v>
      </c>
      <c r="B24" s="71" t="s">
        <v>364</v>
      </c>
      <c r="C24" s="72">
        <v>0</v>
      </c>
    </row>
    <row r="25" spans="1:3" ht="18" customHeight="1" x14ac:dyDescent="0.2">
      <c r="A25" s="73" t="s">
        <v>365</v>
      </c>
      <c r="B25" s="74" t="s">
        <v>366</v>
      </c>
      <c r="C25" s="75">
        <v>74548.88</v>
      </c>
    </row>
    <row r="26" spans="1:3" ht="18" customHeight="1" x14ac:dyDescent="0.2">
      <c r="A26" s="70" t="s">
        <v>367</v>
      </c>
      <c r="B26" s="71" t="s">
        <v>368</v>
      </c>
      <c r="C26" s="72">
        <v>-34457.97</v>
      </c>
    </row>
    <row r="27" spans="1:3" ht="18" customHeight="1" x14ac:dyDescent="0.2">
      <c r="A27" s="73" t="s">
        <v>369</v>
      </c>
      <c r="B27" s="74" t="s">
        <v>370</v>
      </c>
      <c r="C27" s="75">
        <v>2168464.0699999998</v>
      </c>
    </row>
    <row r="28" spans="1:3" ht="18" customHeight="1" x14ac:dyDescent="0.2">
      <c r="A28" s="70" t="s">
        <v>371</v>
      </c>
      <c r="B28" s="71" t="s">
        <v>370</v>
      </c>
      <c r="C28" s="72">
        <v>-2168464.0699999998</v>
      </c>
    </row>
    <row r="29" spans="1:3" ht="21.75" customHeight="1" x14ac:dyDescent="0.2">
      <c r="A29" s="76"/>
      <c r="B29" s="34" t="s">
        <v>372</v>
      </c>
      <c r="C29" s="35">
        <f>SUM(C4:C28)</f>
        <v>4632958.5</v>
      </c>
    </row>
    <row r="31" spans="1:3" ht="21.75" customHeight="1" x14ac:dyDescent="0.2">
      <c r="A31" s="8" t="s">
        <v>373</v>
      </c>
      <c r="B31" s="8"/>
      <c r="C31" s="8"/>
    </row>
    <row r="32" spans="1:3" ht="18" customHeight="1" x14ac:dyDescent="0.2">
      <c r="A32" s="77" t="s">
        <v>374</v>
      </c>
      <c r="B32" s="27" t="s">
        <v>375</v>
      </c>
      <c r="C32" s="68">
        <v>31983.51</v>
      </c>
    </row>
    <row r="33" spans="1:3" ht="18" customHeight="1" x14ac:dyDescent="0.2">
      <c r="A33" s="78" t="s">
        <v>376</v>
      </c>
      <c r="B33" s="28" t="s">
        <v>377</v>
      </c>
      <c r="C33" s="69">
        <v>0</v>
      </c>
    </row>
    <row r="34" spans="1:3" ht="18" customHeight="1" x14ac:dyDescent="0.2">
      <c r="A34" s="77" t="s">
        <v>378</v>
      </c>
      <c r="B34" s="27" t="s">
        <v>379</v>
      </c>
      <c r="C34" s="68">
        <v>58224.84</v>
      </c>
    </row>
    <row r="35" spans="1:3" ht="18" customHeight="1" x14ac:dyDescent="0.2">
      <c r="A35" s="78" t="s">
        <v>380</v>
      </c>
      <c r="B35" s="28" t="s">
        <v>381</v>
      </c>
      <c r="C35" s="69">
        <v>0</v>
      </c>
    </row>
    <row r="36" spans="1:3" ht="18" customHeight="1" x14ac:dyDescent="0.2">
      <c r="A36" s="77" t="s">
        <v>382</v>
      </c>
      <c r="B36" s="27" t="s">
        <v>383</v>
      </c>
      <c r="C36" s="68">
        <v>37641.160000000003</v>
      </c>
    </row>
    <row r="37" spans="1:3" ht="18" customHeight="1" x14ac:dyDescent="0.2">
      <c r="A37" s="78" t="s">
        <v>384</v>
      </c>
      <c r="B37" s="28" t="s">
        <v>385</v>
      </c>
      <c r="C37" s="69">
        <v>0</v>
      </c>
    </row>
    <row r="38" spans="1:3" ht="18" customHeight="1" x14ac:dyDescent="0.2">
      <c r="A38" s="77" t="s">
        <v>386</v>
      </c>
      <c r="B38" s="27" t="s">
        <v>387</v>
      </c>
      <c r="C38" s="68">
        <v>0</v>
      </c>
    </row>
    <row r="39" spans="1:3" ht="18" customHeight="1" x14ac:dyDescent="0.2">
      <c r="A39" s="78" t="s">
        <v>388</v>
      </c>
      <c r="B39" s="28" t="s">
        <v>389</v>
      </c>
      <c r="C39" s="69">
        <v>35376.26</v>
      </c>
    </row>
    <row r="40" spans="1:3" ht="18" customHeight="1" x14ac:dyDescent="0.2">
      <c r="A40" s="77" t="s">
        <v>390</v>
      </c>
      <c r="B40" s="27" t="s">
        <v>391</v>
      </c>
      <c r="C40" s="68">
        <v>2626.2</v>
      </c>
    </row>
    <row r="41" spans="1:3" ht="18" customHeight="1" x14ac:dyDescent="0.2">
      <c r="A41" s="78" t="s">
        <v>392</v>
      </c>
      <c r="B41" s="28" t="s">
        <v>393</v>
      </c>
      <c r="C41" s="69">
        <v>0</v>
      </c>
    </row>
    <row r="42" spans="1:3" ht="18" customHeight="1" x14ac:dyDescent="0.2">
      <c r="A42" s="77" t="s">
        <v>394</v>
      </c>
      <c r="B42" s="27" t="s">
        <v>395</v>
      </c>
      <c r="C42" s="68">
        <v>0</v>
      </c>
    </row>
    <row r="43" spans="1:3" ht="18" customHeight="1" x14ac:dyDescent="0.2">
      <c r="A43" s="78" t="s">
        <v>396</v>
      </c>
      <c r="B43" s="28" t="s">
        <v>397</v>
      </c>
      <c r="C43" s="69">
        <v>0</v>
      </c>
    </row>
    <row r="44" spans="1:3" ht="18" customHeight="1" x14ac:dyDescent="0.2">
      <c r="A44" s="77" t="s">
        <v>398</v>
      </c>
      <c r="B44" s="27" t="s">
        <v>399</v>
      </c>
      <c r="C44" s="68">
        <v>80.34</v>
      </c>
    </row>
    <row r="45" spans="1:3" ht="18" customHeight="1" x14ac:dyDescent="0.2">
      <c r="A45" s="78" t="s">
        <v>400</v>
      </c>
      <c r="B45" s="28" t="s">
        <v>401</v>
      </c>
      <c r="C45" s="69">
        <v>-1746.39</v>
      </c>
    </row>
    <row r="46" spans="1:3" ht="18" customHeight="1" x14ac:dyDescent="0.2">
      <c r="A46" s="77" t="s">
        <v>402</v>
      </c>
      <c r="B46" s="27" t="s">
        <v>403</v>
      </c>
      <c r="C46" s="68">
        <v>0</v>
      </c>
    </row>
    <row r="47" spans="1:3" ht="18" customHeight="1" x14ac:dyDescent="0.2">
      <c r="A47" s="78" t="s">
        <v>404</v>
      </c>
      <c r="B47" s="28" t="s">
        <v>405</v>
      </c>
      <c r="C47" s="69">
        <v>0</v>
      </c>
    </row>
    <row r="48" spans="1:3" ht="18" customHeight="1" x14ac:dyDescent="0.2">
      <c r="A48" s="77" t="s">
        <v>406</v>
      </c>
      <c r="B48" s="27" t="s">
        <v>407</v>
      </c>
      <c r="C48" s="68">
        <v>0</v>
      </c>
    </row>
    <row r="49" spans="1:3" ht="18" customHeight="1" x14ac:dyDescent="0.2">
      <c r="A49" s="78" t="s">
        <v>408</v>
      </c>
      <c r="B49" s="28" t="s">
        <v>409</v>
      </c>
      <c r="C49" s="69">
        <v>0</v>
      </c>
    </row>
    <row r="50" spans="1:3" ht="18" customHeight="1" x14ac:dyDescent="0.2">
      <c r="A50" s="77" t="s">
        <v>410</v>
      </c>
      <c r="B50" s="27" t="s">
        <v>411</v>
      </c>
      <c r="C50" s="68">
        <v>45738.66</v>
      </c>
    </row>
    <row r="51" spans="1:3" ht="18" customHeight="1" x14ac:dyDescent="0.2">
      <c r="A51" s="78" t="s">
        <v>412</v>
      </c>
      <c r="B51" s="28" t="s">
        <v>413</v>
      </c>
      <c r="C51" s="69">
        <v>0</v>
      </c>
    </row>
    <row r="52" spans="1:3" ht="18" customHeight="1" x14ac:dyDescent="0.2">
      <c r="A52" s="77" t="s">
        <v>414</v>
      </c>
      <c r="B52" s="27" t="s">
        <v>415</v>
      </c>
      <c r="C52" s="68">
        <v>32937.120000000003</v>
      </c>
    </row>
    <row r="53" spans="1:3" ht="18" customHeight="1" x14ac:dyDescent="0.2">
      <c r="A53" s="78" t="s">
        <v>416</v>
      </c>
      <c r="B53" s="28" t="s">
        <v>417</v>
      </c>
      <c r="C53" s="69">
        <v>10857.06</v>
      </c>
    </row>
    <row r="54" spans="1:3" ht="21.75" customHeight="1" x14ac:dyDescent="0.2">
      <c r="A54" s="76"/>
      <c r="B54" s="34" t="s">
        <v>418</v>
      </c>
      <c r="C54" s="35">
        <f>SUM(C32:C53)</f>
        <v>253718.75999999998</v>
      </c>
    </row>
    <row r="56" spans="1:3" ht="21.75" customHeight="1" x14ac:dyDescent="0.2">
      <c r="A56" s="8" t="s">
        <v>419</v>
      </c>
      <c r="B56" s="8"/>
      <c r="C56" s="8"/>
    </row>
    <row r="57" spans="1:3" ht="18" customHeight="1" x14ac:dyDescent="0.2">
      <c r="A57" s="77" t="s">
        <v>420</v>
      </c>
      <c r="B57" s="27" t="s">
        <v>421</v>
      </c>
      <c r="C57" s="68">
        <v>6547703.8099999996</v>
      </c>
    </row>
    <row r="58" spans="1:3" ht="18" customHeight="1" x14ac:dyDescent="0.2">
      <c r="A58" s="78" t="s">
        <v>422</v>
      </c>
      <c r="B58" s="28" t="s">
        <v>423</v>
      </c>
      <c r="C58" s="69">
        <v>-2168464.0699999998</v>
      </c>
    </row>
    <row r="59" spans="1:3" ht="21.75" customHeight="1" x14ac:dyDescent="0.2">
      <c r="A59" s="76"/>
      <c r="B59" s="34" t="s">
        <v>424</v>
      </c>
      <c r="C59" s="35">
        <f>SUM(C57:C58)</f>
        <v>4379239.74</v>
      </c>
    </row>
    <row r="61" spans="1:3" ht="21.75" customHeight="1" x14ac:dyDescent="0.2">
      <c r="B61" s="34" t="s">
        <v>425</v>
      </c>
      <c r="C61" s="35">
        <f>C54+C59</f>
        <v>4632958.5</v>
      </c>
    </row>
  </sheetData>
  <mergeCells count="4">
    <mergeCell ref="A1:C1"/>
    <mergeCell ref="A3:C3"/>
    <mergeCell ref="A31:C31"/>
    <mergeCell ref="A56:C5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Dashboard</vt:lpstr>
      <vt:lpstr>Cash</vt:lpstr>
      <vt:lpstr>Revenue &amp; Expenses</vt:lpstr>
      <vt:lpstr>Budget vs Actual</vt:lpstr>
      <vt:lpstr>Project Profitability</vt:lpstr>
      <vt:lpstr>Monthly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Karin Lyle</cp:lastModifiedBy>
  <cp:revision>1</cp:revision>
  <dcterms:created xsi:type="dcterms:W3CDTF">2026-05-12T01:47:13Z</dcterms:created>
  <dcterms:modified xsi:type="dcterms:W3CDTF">2026-05-12T01:59:54Z</dcterms:modified>
  <dc:language>en-US</dc:language>
</cp:coreProperties>
</file>